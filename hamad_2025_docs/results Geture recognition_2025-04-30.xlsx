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jabraaten/Desktop/Final Docs/"/>
    </mc:Choice>
  </mc:AlternateContent>
  <xr:revisionPtr revIDLastSave="0" documentId="13_ncr:1_{62E222C3-9626-AF42-8343-8C833BDBE2FE}" xr6:coauthVersionLast="47" xr6:coauthVersionMax="47" xr10:uidLastSave="{00000000-0000-0000-0000-000000000000}"/>
  <bookViews>
    <workbookView xWindow="14660" yWindow="880" windowWidth="15560" windowHeight="17580" xr2:uid="{D2AA10F0-BBCE-485F-9738-21E01A07EF5F}"/>
  </bookViews>
  <sheets>
    <sheet name="pic" sheetId="3" r:id="rId1"/>
    <sheet name="Spss combined " sheetId="9" r:id="rId2"/>
    <sheet name="spss_seperteed Axe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" i="3" l="1"/>
  <c r="F17" i="3"/>
  <c r="C19" i="3"/>
  <c r="F16" i="3"/>
  <c r="F18" i="3"/>
  <c r="F19" i="3"/>
  <c r="F20" i="3"/>
  <c r="B18" i="3"/>
  <c r="B19" i="3"/>
  <c r="B20" i="3"/>
  <c r="B41" i="3"/>
  <c r="C18" i="3"/>
  <c r="C17" i="3"/>
  <c r="C16" i="3"/>
  <c r="B17" i="3"/>
  <c r="B16" i="3"/>
  <c r="AP19" i="3"/>
  <c r="AL19" i="3"/>
  <c r="AQ19" i="3"/>
  <c r="AO16" i="3"/>
  <c r="AT16" i="3"/>
  <c r="Z20" i="3"/>
  <c r="AE20" i="3"/>
  <c r="AE45" i="3" s="1"/>
  <c r="W29" i="3"/>
  <c r="C29" i="3"/>
  <c r="AE42" i="3"/>
  <c r="AE43" i="3"/>
  <c r="AE44" i="3"/>
  <c r="AE41" i="3"/>
  <c r="U42" i="3"/>
  <c r="U43" i="3"/>
  <c r="U44" i="3"/>
  <c r="U45" i="3"/>
  <c r="U41" i="3"/>
  <c r="AP45" i="3"/>
  <c r="AP44" i="3"/>
  <c r="AP43" i="3"/>
  <c r="AP42" i="3"/>
  <c r="AP41" i="3"/>
  <c r="AK45" i="3"/>
  <c r="AK44" i="3"/>
  <c r="AK43" i="3"/>
  <c r="AK42" i="3"/>
  <c r="AK41" i="3"/>
  <c r="AF45" i="3"/>
  <c r="AF44" i="3"/>
  <c r="AF43" i="3"/>
  <c r="AF42" i="3"/>
  <c r="AF41" i="3"/>
  <c r="AA45" i="3"/>
  <c r="AA44" i="3"/>
  <c r="AA43" i="3"/>
  <c r="AA42" i="3"/>
  <c r="AA41" i="3"/>
  <c r="V45" i="3"/>
  <c r="V44" i="3"/>
  <c r="V43" i="3"/>
  <c r="V42" i="3"/>
  <c r="V41" i="3"/>
  <c r="G45" i="3"/>
  <c r="G44" i="3"/>
  <c r="G43" i="3"/>
  <c r="G42" i="3"/>
  <c r="G41" i="3"/>
  <c r="AB29" i="3"/>
  <c r="P74" i="3"/>
  <c r="P75" i="3"/>
  <c r="P76" i="3"/>
  <c r="P77" i="3"/>
  <c r="P78" i="3"/>
  <c r="P79" i="3"/>
  <c r="P80" i="3"/>
  <c r="P81" i="3"/>
  <c r="P82" i="3"/>
  <c r="P83" i="3"/>
  <c r="P73" i="3"/>
  <c r="P63" i="3"/>
  <c r="P64" i="3"/>
  <c r="P65" i="3"/>
  <c r="P66" i="3"/>
  <c r="P67" i="3"/>
  <c r="P68" i="3"/>
  <c r="P69" i="3"/>
  <c r="P70" i="3"/>
  <c r="P71" i="3"/>
  <c r="P72" i="3"/>
  <c r="P62" i="3"/>
  <c r="P52" i="3"/>
  <c r="P53" i="3"/>
  <c r="P54" i="3"/>
  <c r="P55" i="3"/>
  <c r="P56" i="3"/>
  <c r="P57" i="3"/>
  <c r="P58" i="3"/>
  <c r="P59" i="3"/>
  <c r="P60" i="3"/>
  <c r="P61" i="3"/>
  <c r="P51" i="3"/>
  <c r="C74" i="3"/>
  <c r="C75" i="3"/>
  <c r="C76" i="3"/>
  <c r="C77" i="3"/>
  <c r="C78" i="3"/>
  <c r="C79" i="3"/>
  <c r="C80" i="3"/>
  <c r="C81" i="3"/>
  <c r="C82" i="3"/>
  <c r="C83" i="3"/>
  <c r="C73" i="3"/>
  <c r="C63" i="3"/>
  <c r="C64" i="3"/>
  <c r="C65" i="3"/>
  <c r="C66" i="3"/>
  <c r="C67" i="3"/>
  <c r="C68" i="3"/>
  <c r="C69" i="3"/>
  <c r="C70" i="3"/>
  <c r="C71" i="3"/>
  <c r="C72" i="3"/>
  <c r="C62" i="3"/>
  <c r="C52" i="3"/>
  <c r="C53" i="3"/>
  <c r="C54" i="3"/>
  <c r="C55" i="3"/>
  <c r="C56" i="3"/>
  <c r="C57" i="3"/>
  <c r="C58" i="3"/>
  <c r="C59" i="3"/>
  <c r="C60" i="3"/>
  <c r="C61" i="3"/>
  <c r="C51" i="3"/>
  <c r="S74" i="3"/>
  <c r="S75" i="3"/>
  <c r="S76" i="3"/>
  <c r="S77" i="3"/>
  <c r="S78" i="3"/>
  <c r="S79" i="3"/>
  <c r="S80" i="3"/>
  <c r="S81" i="3"/>
  <c r="S82" i="3"/>
  <c r="S83" i="3"/>
  <c r="S73" i="3"/>
  <c r="S63" i="3"/>
  <c r="S64" i="3"/>
  <c r="S65" i="3"/>
  <c r="S66" i="3"/>
  <c r="S67" i="3"/>
  <c r="S68" i="3"/>
  <c r="S69" i="3"/>
  <c r="S70" i="3"/>
  <c r="S71" i="3"/>
  <c r="S72" i="3"/>
  <c r="S62" i="3"/>
  <c r="S61" i="3"/>
  <c r="S60" i="3"/>
  <c r="S52" i="3"/>
  <c r="S53" i="3"/>
  <c r="S54" i="3"/>
  <c r="S55" i="3"/>
  <c r="S56" i="3"/>
  <c r="S57" i="3"/>
  <c r="S58" i="3"/>
  <c r="S59" i="3"/>
  <c r="S51" i="3"/>
  <c r="F90" i="3"/>
  <c r="F89" i="3"/>
  <c r="F88" i="3"/>
  <c r="F87" i="3"/>
  <c r="F86" i="3"/>
  <c r="L90" i="3"/>
  <c r="L89" i="3"/>
  <c r="L88" i="3"/>
  <c r="L87" i="3"/>
  <c r="O90" i="3"/>
  <c r="O89" i="3"/>
  <c r="O88" i="3"/>
  <c r="O87" i="3"/>
  <c r="O86" i="3"/>
  <c r="H90" i="3"/>
  <c r="H89" i="3"/>
  <c r="H88" i="3"/>
  <c r="H87" i="3"/>
  <c r="H86" i="3"/>
  <c r="I90" i="3"/>
  <c r="I89" i="3"/>
  <c r="I88" i="3"/>
  <c r="I87" i="3"/>
  <c r="I86" i="3"/>
  <c r="B90" i="3"/>
  <c r="B89" i="3"/>
  <c r="B88" i="3"/>
  <c r="B87" i="3"/>
  <c r="B86" i="3"/>
  <c r="F79" i="3"/>
  <c r="F81" i="3"/>
  <c r="F82" i="3"/>
  <c r="F83" i="3"/>
  <c r="F73" i="3"/>
  <c r="F72" i="3"/>
  <c r="F66" i="3"/>
  <c r="F52" i="3"/>
  <c r="F53" i="3"/>
  <c r="F54" i="3"/>
  <c r="F55" i="3"/>
  <c r="F56" i="3"/>
  <c r="F57" i="3"/>
  <c r="B45" i="3"/>
  <c r="B44" i="3"/>
  <c r="B43" i="3"/>
  <c r="B42" i="3"/>
  <c r="L83" i="3"/>
  <c r="L73" i="3"/>
  <c r="L63" i="3"/>
  <c r="L67" i="3"/>
  <c r="L68" i="3"/>
  <c r="L70" i="3"/>
  <c r="I74" i="3"/>
  <c r="I75" i="3"/>
  <c r="I76" i="3"/>
  <c r="I77" i="3"/>
  <c r="I78" i="3"/>
  <c r="I79" i="3"/>
  <c r="I83" i="3"/>
  <c r="I73" i="3"/>
  <c r="I63" i="3"/>
  <c r="I66" i="3"/>
  <c r="I67" i="3"/>
  <c r="I68" i="3"/>
  <c r="I69" i="3"/>
  <c r="I70" i="3"/>
  <c r="I71" i="3"/>
  <c r="I72" i="3"/>
  <c r="I62" i="3"/>
  <c r="I52" i="3"/>
  <c r="I53" i="3"/>
  <c r="I54" i="3"/>
  <c r="I55" i="3"/>
  <c r="I56" i="3"/>
  <c r="I57" i="3"/>
  <c r="I51" i="3"/>
  <c r="H39" i="3"/>
  <c r="I61" i="3" s="1"/>
  <c r="F39" i="3"/>
  <c r="F61" i="3" s="1"/>
  <c r="AE14" i="3"/>
  <c r="AE39" i="3" s="1"/>
  <c r="K14" i="3"/>
  <c r="K39" i="3" s="1"/>
  <c r="L61" i="3" s="1"/>
  <c r="U14" i="3"/>
  <c r="U39" i="3" s="1"/>
  <c r="L72" i="3" s="1"/>
  <c r="AE13" i="3"/>
  <c r="AE38" i="3" s="1"/>
  <c r="L82" i="3" s="1"/>
  <c r="U13" i="3"/>
  <c r="U38" i="3" s="1"/>
  <c r="L71" i="3" s="1"/>
  <c r="K13" i="3"/>
  <c r="K38" i="3" s="1"/>
  <c r="L60" i="3" s="1"/>
  <c r="H20" i="3"/>
  <c r="G20" i="3"/>
  <c r="H19" i="3"/>
  <c r="G19" i="3"/>
  <c r="H18" i="3"/>
  <c r="G18" i="3"/>
  <c r="H17" i="3"/>
  <c r="G17" i="3"/>
  <c r="H16" i="3"/>
  <c r="G16" i="3"/>
  <c r="C39" i="3"/>
  <c r="C20" i="3"/>
  <c r="F14" i="3"/>
  <c r="AE6" i="3"/>
  <c r="AE31" i="3" s="1"/>
  <c r="L75" i="3" s="1"/>
  <c r="AE7" i="3"/>
  <c r="AE32" i="3" s="1"/>
  <c r="L76" i="3" s="1"/>
  <c r="AE8" i="3"/>
  <c r="AE33" i="3" s="1"/>
  <c r="L77" i="3" s="1"/>
  <c r="AE9" i="3"/>
  <c r="AE34" i="3" s="1"/>
  <c r="L78" i="3" s="1"/>
  <c r="AE10" i="3"/>
  <c r="AE35" i="3" s="1"/>
  <c r="L79" i="3" s="1"/>
  <c r="AE11" i="3"/>
  <c r="AE12" i="3"/>
  <c r="AE37" i="3" s="1"/>
  <c r="L81" i="3" s="1"/>
  <c r="U6" i="3"/>
  <c r="U31" i="3" s="1"/>
  <c r="L64" i="3" s="1"/>
  <c r="U7" i="3"/>
  <c r="U32" i="3" s="1"/>
  <c r="L65" i="3" s="1"/>
  <c r="U8" i="3"/>
  <c r="U9" i="3"/>
  <c r="U34" i="3" s="1"/>
  <c r="U10" i="3"/>
  <c r="U35" i="3" s="1"/>
  <c r="U11" i="3"/>
  <c r="U36" i="3" s="1"/>
  <c r="L69" i="3" s="1"/>
  <c r="U12" i="3"/>
  <c r="U37" i="3" s="1"/>
  <c r="K6" i="3"/>
  <c r="K31" i="3" s="1"/>
  <c r="L53" i="3" s="1"/>
  <c r="K7" i="3"/>
  <c r="K32" i="3" s="1"/>
  <c r="L54" i="3" s="1"/>
  <c r="K8" i="3"/>
  <c r="K33" i="3" s="1"/>
  <c r="L55" i="3" s="1"/>
  <c r="K9" i="3"/>
  <c r="K34" i="3" s="1"/>
  <c r="L56" i="3" s="1"/>
  <c r="K10" i="3"/>
  <c r="K11" i="3"/>
  <c r="K36" i="3" s="1"/>
  <c r="L58" i="3" s="1"/>
  <c r="K12" i="3"/>
  <c r="K37" i="3" s="1"/>
  <c r="L59" i="3" s="1"/>
  <c r="M30" i="3"/>
  <c r="M45" i="3" s="1"/>
  <c r="P30" i="3"/>
  <c r="F63" i="3" s="1"/>
  <c r="R30" i="3"/>
  <c r="P5" i="3"/>
  <c r="U5" i="3"/>
  <c r="U30" i="3" s="1"/>
  <c r="Q45" i="3"/>
  <c r="Q44" i="3"/>
  <c r="Q43" i="3"/>
  <c r="Q42" i="3"/>
  <c r="Q41" i="3"/>
  <c r="L45" i="3"/>
  <c r="L44" i="3"/>
  <c r="L43" i="3"/>
  <c r="L42" i="3"/>
  <c r="L41" i="3"/>
  <c r="AQ30" i="3"/>
  <c r="AQ31" i="3"/>
  <c r="AQ32" i="3"/>
  <c r="AQ33" i="3"/>
  <c r="AQ34" i="3"/>
  <c r="AQ35" i="3"/>
  <c r="AQ36" i="3"/>
  <c r="AQ37" i="3"/>
  <c r="AQ38" i="3"/>
  <c r="AQ41" i="3" s="1"/>
  <c r="AQ39" i="3"/>
  <c r="AQ29" i="3"/>
  <c r="AL30" i="3"/>
  <c r="AL31" i="3"/>
  <c r="AL32" i="3"/>
  <c r="AL33" i="3"/>
  <c r="AL34" i="3"/>
  <c r="AL35" i="3"/>
  <c r="AL36" i="3"/>
  <c r="AL37" i="3"/>
  <c r="AL38" i="3"/>
  <c r="AL39" i="3"/>
  <c r="AL29" i="3"/>
  <c r="AL45" i="3" s="1"/>
  <c r="AG30" i="3"/>
  <c r="AG31" i="3"/>
  <c r="AG32" i="3"/>
  <c r="AG33" i="3"/>
  <c r="AG34" i="3"/>
  <c r="AG35" i="3"/>
  <c r="AG36" i="3"/>
  <c r="AG37" i="3"/>
  <c r="AG38" i="3"/>
  <c r="AG39" i="3"/>
  <c r="AG29" i="3"/>
  <c r="AB30" i="3"/>
  <c r="AB31" i="3"/>
  <c r="AB32" i="3"/>
  <c r="AB33" i="3"/>
  <c r="AB34" i="3"/>
  <c r="AB35" i="3"/>
  <c r="AB36" i="3"/>
  <c r="I80" i="3" s="1"/>
  <c r="AB37" i="3"/>
  <c r="I81" i="3" s="1"/>
  <c r="AB38" i="3"/>
  <c r="I82" i="3" s="1"/>
  <c r="AB39" i="3"/>
  <c r="W30" i="3"/>
  <c r="W31" i="3"/>
  <c r="W32" i="3"/>
  <c r="W33" i="3"/>
  <c r="W34" i="3"/>
  <c r="W35" i="3"/>
  <c r="W36" i="3"/>
  <c r="W37" i="3"/>
  <c r="W38" i="3"/>
  <c r="W39" i="3"/>
  <c r="W44" i="3"/>
  <c r="R31" i="3"/>
  <c r="I64" i="3" s="1"/>
  <c r="R32" i="3"/>
  <c r="I65" i="3" s="1"/>
  <c r="R33" i="3"/>
  <c r="R34" i="3"/>
  <c r="R35" i="3"/>
  <c r="R36" i="3"/>
  <c r="R37" i="3"/>
  <c r="R38" i="3"/>
  <c r="R39" i="3"/>
  <c r="R29" i="3"/>
  <c r="H30" i="3"/>
  <c r="H31" i="3"/>
  <c r="H32" i="3"/>
  <c r="H33" i="3"/>
  <c r="H34" i="3"/>
  <c r="H35" i="3"/>
  <c r="H36" i="3"/>
  <c r="I58" i="3" s="1"/>
  <c r="H37" i="3"/>
  <c r="I59" i="3" s="1"/>
  <c r="H38" i="3"/>
  <c r="I60" i="3" s="1"/>
  <c r="H29" i="3"/>
  <c r="M31" i="3"/>
  <c r="M32" i="3"/>
  <c r="M33" i="3"/>
  <c r="M34" i="3"/>
  <c r="M35" i="3"/>
  <c r="M36" i="3"/>
  <c r="M37" i="3"/>
  <c r="M38" i="3"/>
  <c r="M39" i="3"/>
  <c r="M29" i="3"/>
  <c r="C38" i="3"/>
  <c r="C30" i="3"/>
  <c r="C45" i="3" s="1"/>
  <c r="C31" i="3"/>
  <c r="C32" i="3"/>
  <c r="C33" i="3"/>
  <c r="C34" i="3"/>
  <c r="C35" i="3"/>
  <c r="C36" i="3"/>
  <c r="C37" i="3"/>
  <c r="AT4" i="3"/>
  <c r="AT29" i="3" s="1"/>
  <c r="AP20" i="3"/>
  <c r="AO4" i="3"/>
  <c r="AO29" i="3" s="1"/>
  <c r="AJ4" i="3"/>
  <c r="AJ29" i="3" s="1"/>
  <c r="AE4" i="3"/>
  <c r="AE29" i="3" s="1"/>
  <c r="Z4" i="3"/>
  <c r="Z29" i="3" s="1"/>
  <c r="U4" i="3"/>
  <c r="U29" i="3" s="1"/>
  <c r="L62" i="3" s="1"/>
  <c r="P4" i="3"/>
  <c r="P29" i="3" s="1"/>
  <c r="F62" i="3" s="1"/>
  <c r="K4" i="3"/>
  <c r="K29" i="3" s="1"/>
  <c r="L51" i="3" s="1"/>
  <c r="F4" i="3"/>
  <c r="F29" i="3" s="1"/>
  <c r="F42" i="3" s="1"/>
  <c r="AJ14" i="3"/>
  <c r="AJ39" i="3" s="1"/>
  <c r="AJ13" i="3"/>
  <c r="AJ38" i="3" s="1"/>
  <c r="AJ12" i="3"/>
  <c r="AJ37" i="3" s="1"/>
  <c r="AJ11" i="3"/>
  <c r="AJ36" i="3" s="1"/>
  <c r="AJ10" i="3"/>
  <c r="AJ35" i="3" s="1"/>
  <c r="AJ9" i="3"/>
  <c r="AJ34" i="3" s="1"/>
  <c r="AJ8" i="3"/>
  <c r="AJ33" i="3" s="1"/>
  <c r="AL20" i="3"/>
  <c r="AK20" i="3"/>
  <c r="AK19" i="3"/>
  <c r="AL18" i="3"/>
  <c r="AK18" i="3"/>
  <c r="AL17" i="3"/>
  <c r="AK17" i="3"/>
  <c r="AL16" i="3"/>
  <c r="AK16" i="3"/>
  <c r="AG20" i="3"/>
  <c r="AF20" i="3"/>
  <c r="AG19" i="3"/>
  <c r="AF19" i="3"/>
  <c r="AG18" i="3"/>
  <c r="AF18" i="3"/>
  <c r="AG17" i="3"/>
  <c r="AF17" i="3"/>
  <c r="AG16" i="3"/>
  <c r="AF16" i="3"/>
  <c r="AJ7" i="3"/>
  <c r="AJ32" i="3" s="1"/>
  <c r="AO7" i="3"/>
  <c r="AO32" i="3" s="1"/>
  <c r="AO8" i="3"/>
  <c r="AO33" i="3" s="1"/>
  <c r="AO9" i="3"/>
  <c r="AO34" i="3" s="1"/>
  <c r="AO10" i="3"/>
  <c r="AO35" i="3" s="1"/>
  <c r="AO11" i="3"/>
  <c r="AO36" i="3" s="1"/>
  <c r="AO12" i="3"/>
  <c r="AO37" i="3" s="1"/>
  <c r="AO13" i="3"/>
  <c r="AO38" i="3" s="1"/>
  <c r="AO14" i="3"/>
  <c r="AO39" i="3" s="1"/>
  <c r="AJ6" i="3"/>
  <c r="AJ31" i="3" s="1"/>
  <c r="AO6" i="3"/>
  <c r="AO31" i="3" s="1"/>
  <c r="AJ5" i="3"/>
  <c r="AJ30" i="3" s="1"/>
  <c r="AO5" i="3"/>
  <c r="AO30" i="3" s="1"/>
  <c r="AT14" i="3"/>
  <c r="AT39" i="3" s="1"/>
  <c r="Z14" i="3"/>
  <c r="Z39" i="3" s="1"/>
  <c r="P14" i="3"/>
  <c r="P39" i="3" s="1"/>
  <c r="F13" i="3"/>
  <c r="F38" i="3" s="1"/>
  <c r="F60" i="3" s="1"/>
  <c r="AQ20" i="3"/>
  <c r="AQ18" i="3"/>
  <c r="AQ17" i="3"/>
  <c r="AQ16" i="3"/>
  <c r="AT13" i="3"/>
  <c r="AT38" i="3" s="1"/>
  <c r="Z13" i="3"/>
  <c r="Z38" i="3" s="1"/>
  <c r="P13" i="3"/>
  <c r="P38" i="3" s="1"/>
  <c r="F71" i="3" s="1"/>
  <c r="F12" i="3"/>
  <c r="F37" i="3" s="1"/>
  <c r="F59" i="3" s="1"/>
  <c r="AT12" i="3"/>
  <c r="AT37" i="3" s="1"/>
  <c r="Z12" i="3"/>
  <c r="Z37" i="3" s="1"/>
  <c r="P12" i="3"/>
  <c r="P37" i="3" s="1"/>
  <c r="F70" i="3" s="1"/>
  <c r="F11" i="3"/>
  <c r="F36" i="3" s="1"/>
  <c r="F58" i="3" s="1"/>
  <c r="AT11" i="3"/>
  <c r="AT36" i="3" s="1"/>
  <c r="Z11" i="3"/>
  <c r="Z36" i="3" s="1"/>
  <c r="F80" i="3" s="1"/>
  <c r="P11" i="3"/>
  <c r="P36" i="3" s="1"/>
  <c r="F69" i="3" s="1"/>
  <c r="K35" i="3"/>
  <c r="L57" i="3" s="1"/>
  <c r="F10" i="3"/>
  <c r="F35" i="3" s="1"/>
  <c r="AE36" i="3"/>
  <c r="L80" i="3" s="1"/>
  <c r="AT10" i="3"/>
  <c r="AT35" i="3" s="1"/>
  <c r="AT9" i="3"/>
  <c r="AT34" i="3" s="1"/>
  <c r="Z10" i="3"/>
  <c r="Z35" i="3" s="1"/>
  <c r="P10" i="3"/>
  <c r="P35" i="3" s="1"/>
  <c r="F68" i="3" s="1"/>
  <c r="F9" i="3"/>
  <c r="F34" i="3" s="1"/>
  <c r="R20" i="3"/>
  <c r="R19" i="3"/>
  <c r="R18" i="3"/>
  <c r="R17" i="3"/>
  <c r="R16" i="3"/>
  <c r="Z9" i="3"/>
  <c r="Z34" i="3" s="1"/>
  <c r="F78" i="3" s="1"/>
  <c r="F8" i="3"/>
  <c r="F33" i="3" s="1"/>
  <c r="P9" i="3"/>
  <c r="P34" i="3" s="1"/>
  <c r="F67" i="3" s="1"/>
  <c r="AT8" i="3"/>
  <c r="AT33" i="3" s="1"/>
  <c r="U33" i="3"/>
  <c r="L66" i="3" s="1"/>
  <c r="Z8" i="3"/>
  <c r="Z33" i="3" s="1"/>
  <c r="F77" i="3" s="1"/>
  <c r="P8" i="3"/>
  <c r="P33" i="3" s="1"/>
  <c r="F7" i="3"/>
  <c r="F32" i="3" s="1"/>
  <c r="AP18" i="3"/>
  <c r="AP17" i="3"/>
  <c r="AT7" i="3"/>
  <c r="AT32" i="3" s="1"/>
  <c r="AB20" i="3"/>
  <c r="AA20" i="3"/>
  <c r="AB19" i="3"/>
  <c r="AA19" i="3"/>
  <c r="AB18" i="3"/>
  <c r="AA18" i="3"/>
  <c r="AB17" i="3"/>
  <c r="AA17" i="3"/>
  <c r="AB16" i="3"/>
  <c r="AA16" i="3"/>
  <c r="W20" i="3"/>
  <c r="V20" i="3"/>
  <c r="W19" i="3"/>
  <c r="V19" i="3"/>
  <c r="W18" i="3"/>
  <c r="V18" i="3"/>
  <c r="W17" i="3"/>
  <c r="V17" i="3"/>
  <c r="W16" i="3"/>
  <c r="V16" i="3"/>
  <c r="M20" i="3"/>
  <c r="L20" i="3"/>
  <c r="M19" i="3"/>
  <c r="L19" i="3"/>
  <c r="M18" i="3"/>
  <c r="L18" i="3"/>
  <c r="M17" i="3"/>
  <c r="L17" i="3"/>
  <c r="M16" i="3"/>
  <c r="L16" i="3"/>
  <c r="Q20" i="3"/>
  <c r="Q19" i="3"/>
  <c r="Q18" i="3"/>
  <c r="Q17" i="3"/>
  <c r="Q16" i="3"/>
  <c r="Z7" i="3"/>
  <c r="Z32" i="3" s="1"/>
  <c r="F76" i="3" s="1"/>
  <c r="P7" i="3"/>
  <c r="P32" i="3" s="1"/>
  <c r="F65" i="3" s="1"/>
  <c r="F6" i="3"/>
  <c r="F31" i="3" s="1"/>
  <c r="AT6" i="3"/>
  <c r="AT31" i="3" s="1"/>
  <c r="K5" i="3"/>
  <c r="K30" i="3" s="1"/>
  <c r="L52" i="3" s="1"/>
  <c r="Z6" i="3"/>
  <c r="Z31" i="3" s="1"/>
  <c r="F75" i="3" s="1"/>
  <c r="P6" i="3"/>
  <c r="P31" i="3" s="1"/>
  <c r="F64" i="3" s="1"/>
  <c r="F5" i="3"/>
  <c r="F30" i="3" s="1"/>
  <c r="AT5" i="3"/>
  <c r="AT30" i="3" s="1"/>
  <c r="Z5" i="3"/>
  <c r="Z30" i="3" s="1"/>
  <c r="F74" i="3" s="1"/>
  <c r="AE5" i="3"/>
  <c r="AE30" i="3" s="1"/>
  <c r="L74" i="3" s="1"/>
  <c r="S89" i="3" l="1"/>
  <c r="P90" i="3"/>
  <c r="P86" i="3"/>
  <c r="P88" i="3"/>
  <c r="P87" i="3"/>
  <c r="P89" i="3"/>
  <c r="C88" i="3"/>
  <c r="C90" i="3"/>
  <c r="C89" i="3"/>
  <c r="C86" i="3"/>
  <c r="C87" i="3"/>
  <c r="S90" i="3"/>
  <c r="S88" i="3"/>
  <c r="S87" i="3"/>
  <c r="S86" i="3"/>
  <c r="F43" i="3"/>
  <c r="F45" i="3"/>
  <c r="C41" i="3"/>
  <c r="W45" i="3"/>
  <c r="F44" i="3"/>
  <c r="AG42" i="3"/>
  <c r="C42" i="3"/>
  <c r="C43" i="3"/>
  <c r="C44" i="3"/>
  <c r="AQ45" i="3"/>
  <c r="AQ44" i="3"/>
  <c r="F41" i="3"/>
  <c r="F51" i="3"/>
  <c r="AB45" i="3"/>
  <c r="K45" i="3"/>
  <c r="R45" i="3"/>
  <c r="K42" i="3"/>
  <c r="K43" i="3"/>
  <c r="K44" i="3"/>
  <c r="K41" i="3"/>
  <c r="M41" i="3"/>
  <c r="M42" i="3"/>
  <c r="M43" i="3"/>
  <c r="M44" i="3"/>
  <c r="R41" i="3"/>
  <c r="R42" i="3"/>
  <c r="R43" i="3"/>
  <c r="R44" i="3"/>
  <c r="H45" i="3"/>
  <c r="H42" i="3"/>
  <c r="H43" i="3"/>
  <c r="H41" i="3"/>
  <c r="AG43" i="3"/>
  <c r="AG44" i="3"/>
  <c r="AG45" i="3"/>
  <c r="H44" i="3"/>
  <c r="AL41" i="3"/>
  <c r="W41" i="3"/>
  <c r="AL42" i="3"/>
  <c r="W42" i="3"/>
  <c r="AL43" i="3"/>
  <c r="W43" i="3"/>
  <c r="AL44" i="3"/>
  <c r="AB41" i="3"/>
  <c r="AQ42" i="3"/>
  <c r="AB42" i="3"/>
  <c r="AQ43" i="3"/>
  <c r="AB43" i="3"/>
  <c r="AB44" i="3"/>
  <c r="AG41" i="3"/>
  <c r="AJ20" i="3"/>
  <c r="AO19" i="3"/>
  <c r="AO17" i="3"/>
  <c r="AO20" i="3"/>
  <c r="AO18" i="3"/>
  <c r="AJ16" i="3"/>
  <c r="AJ17" i="3"/>
  <c r="AJ18" i="3"/>
  <c r="AJ19" i="3"/>
  <c r="AT20" i="3"/>
  <c r="AT17" i="3"/>
  <c r="AT18" i="3"/>
  <c r="AT19" i="3"/>
  <c r="P20" i="3"/>
  <c r="U20" i="3"/>
  <c r="K20" i="3"/>
  <c r="AE17" i="3"/>
  <c r="K18" i="3"/>
  <c r="K16" i="3"/>
  <c r="K19" i="3"/>
  <c r="K17" i="3"/>
  <c r="P16" i="3"/>
  <c r="P19" i="3"/>
  <c r="P17" i="3"/>
  <c r="P18" i="3"/>
  <c r="U18" i="3"/>
  <c r="Z16" i="3"/>
  <c r="AE16" i="3"/>
  <c r="Z19" i="3"/>
  <c r="AE19" i="3"/>
  <c r="Z18" i="3"/>
  <c r="AE18" i="3"/>
  <c r="U16" i="3"/>
  <c r="U19" i="3"/>
  <c r="U17" i="3"/>
  <c r="Z17" i="3"/>
</calcChain>
</file>

<file path=xl/sharedStrings.xml><?xml version="1.0" encoding="utf-8"?>
<sst xmlns="http://schemas.openxmlformats.org/spreadsheetml/2006/main" count="520" uniqueCount="184">
  <si>
    <t>Without Haptic</t>
  </si>
  <si>
    <t>User Number</t>
  </si>
  <si>
    <t>Misalignments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</si>
  <si>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</si>
  <si>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</si>
  <si>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</si>
  <si>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</si>
  <si>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</si>
  <si>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</si>
  <si>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</si>
  <si>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</si>
  <si>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</si>
  <si>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</si>
  <si>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</si>
  <si>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Time needed</t>
  </si>
  <si>
    <t>Time started</t>
  </si>
  <si>
    <t>Time ended</t>
  </si>
  <si>
    <t>Time differnce</t>
  </si>
  <si>
    <t>average</t>
  </si>
  <si>
    <t>Median</t>
  </si>
  <si>
    <t>SD</t>
  </si>
  <si>
    <t>IQR</t>
  </si>
  <si>
    <t>SE</t>
  </si>
  <si>
    <t>With HapticXX</t>
  </si>
  <si>
    <t>With HapticYY</t>
  </si>
  <si>
    <t>With HapticZZ</t>
  </si>
  <si>
    <t>Distance</t>
  </si>
  <si>
    <t>z Haptic</t>
  </si>
  <si>
    <t>YHaptic</t>
  </si>
  <si>
    <t>XHaptic</t>
  </si>
  <si>
    <t/>
  </si>
  <si>
    <t>XR_pn - XH_pn</t>
  </si>
  <si>
    <t>Z</t>
  </si>
  <si>
    <t>Asymp. Sig. (2-tailed)</t>
  </si>
  <si>
    <t>a. Wilcoxon Signed Ranks Test</t>
  </si>
  <si>
    <t>b. Based on positive ranks.</t>
  </si>
  <si>
    <r>
      <t>Test Statistics</t>
    </r>
    <r>
      <rPr>
        <b/>
        <vertAlign val="superscript"/>
        <sz val="9"/>
        <color indexed="8"/>
        <rFont val="Arial Bold"/>
      </rPr>
      <t>a</t>
    </r>
  </si>
  <si>
    <t>Tests of Normality</t>
  </si>
  <si>
    <t>Shapiro-Wilk</t>
  </si>
  <si>
    <t>Statistic</t>
  </si>
  <si>
    <t>df</t>
  </si>
  <si>
    <t>Sig.</t>
  </si>
  <si>
    <t>XH_pn</t>
  </si>
  <si>
    <t>XR_pn</t>
  </si>
  <si>
    <t>a. Lilliefors Significance Correction</t>
  </si>
  <si>
    <r>
      <t>Kolmogorov-Smirnov</t>
    </r>
    <r>
      <rPr>
        <vertAlign val="superscript"/>
        <sz val="9"/>
        <color indexed="8"/>
        <rFont val="Arial"/>
        <family val="2"/>
      </rPr>
      <t>a</t>
    </r>
  </si>
  <si>
    <t>XH_e</t>
  </si>
  <si>
    <t>XR_e</t>
  </si>
  <si>
    <t>Paired Samples Test</t>
  </si>
  <si>
    <t>Paired Differences</t>
  </si>
  <si>
    <t>t</t>
  </si>
  <si>
    <t>Sig. (2-tailed)</t>
  </si>
  <si>
    <t>Mean</t>
  </si>
  <si>
    <t>Std. Deviation</t>
  </si>
  <si>
    <t>Std. Error Mean</t>
  </si>
  <si>
    <t>95% Confidence Interval of the Difference</t>
  </si>
  <si>
    <t>Lower</t>
  </si>
  <si>
    <t>Upper</t>
  </si>
  <si>
    <t>Pair 1</t>
  </si>
  <si>
    <t>XR_t</t>
  </si>
  <si>
    <t>XH_t</t>
  </si>
  <si>
    <t>XW_t</t>
  </si>
  <si>
    <t>Pair 2</t>
  </si>
  <si>
    <t>Pair 3</t>
  </si>
  <si>
    <t>XW_e</t>
  </si>
  <si>
    <t>XW_pn</t>
  </si>
  <si>
    <t>ZR_e</t>
  </si>
  <si>
    <t>Zh_e</t>
  </si>
  <si>
    <t>ZW_e</t>
  </si>
  <si>
    <t>ZR_e - ZW_e</t>
  </si>
  <si>
    <t>ZR_pn</t>
  </si>
  <si>
    <t>Zh_pn</t>
  </si>
  <si>
    <t>ZW_pn</t>
  </si>
  <si>
    <t>ZH_t</t>
  </si>
  <si>
    <t>ZR_t</t>
  </si>
  <si>
    <t>ZW_t</t>
  </si>
  <si>
    <t>*. This is a lower bound of the true significance.</t>
  </si>
  <si>
    <r>
      <t>.200</t>
    </r>
    <r>
      <rPr>
        <vertAlign val="superscript"/>
        <sz val="9"/>
        <color indexed="8"/>
        <rFont val="Arial"/>
        <family val="2"/>
      </rPr>
      <t>*</t>
    </r>
  </si>
  <si>
    <t>c. Based on negative ranks.</t>
  </si>
  <si>
    <t>YH_e</t>
  </si>
  <si>
    <t>YR_e</t>
  </si>
  <si>
    <t>YW_e</t>
  </si>
  <si>
    <t>Yh_pn</t>
  </si>
  <si>
    <t>YR_pn</t>
  </si>
  <si>
    <t>YW_pn</t>
  </si>
  <si>
    <t>YH_t</t>
  </si>
  <si>
    <t>YR_t</t>
  </si>
  <si>
    <t>YW_t</t>
  </si>
  <si>
    <t>Number of trials</t>
  </si>
  <si>
    <t>Time needed in S</t>
  </si>
  <si>
    <t>RHaptic</t>
  </si>
  <si>
    <t>With Haptic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</si>
  <si>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</si>
  <si>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</si>
  <si>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</si>
  <si>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</si>
  <si>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</si>
  <si>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</si>
  <si>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</si>
  <si>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</si>
  <si>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</si>
  <si>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</si>
  <si>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</si>
  <si>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</si>
  <si>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</si>
  <si>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</si>
  <si>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</si>
  <si>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</si>
  <si>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</si>
  <si>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</si>
  <si>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</si>
  <si>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</si>
  <si>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</si>
  <si>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</si>
  <si>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b. Based on negative ranks.</t>
  </si>
  <si>
    <t>c. Based on positive ranks.</t>
  </si>
  <si>
    <r>
      <t>-1.305</t>
    </r>
    <r>
      <rPr>
        <vertAlign val="superscript"/>
        <sz val="9"/>
        <color indexed="8"/>
        <rFont val="Arial"/>
        <family val="2"/>
      </rPr>
      <t>b</t>
    </r>
  </si>
  <si>
    <t>XR_e - XH_e</t>
  </si>
  <si>
    <t>XW_e - XR_e</t>
  </si>
  <si>
    <t>XH_e - XW_e</t>
  </si>
  <si>
    <t>YR_pn - Yh_pn</t>
  </si>
  <si>
    <t>XW_pn - XR_pn</t>
  </si>
  <si>
    <t>XH_pn - XW_pn</t>
  </si>
  <si>
    <t>ZR_pn - Zh_pn</t>
  </si>
  <si>
    <t>ZW_pn - ZR_pn</t>
  </si>
  <si>
    <t>Zh_pn - ZW_pn</t>
  </si>
  <si>
    <t>XH_t - XR_t</t>
  </si>
  <si>
    <t>XR_t - XW_t</t>
  </si>
  <si>
    <t>XW_t - XH_t</t>
  </si>
  <si>
    <t>ZH_t - ZR_t</t>
  </si>
  <si>
    <t>ZR_t - ZW_t</t>
  </si>
  <si>
    <t>ZW_t - ZH_t</t>
  </si>
  <si>
    <t>Distance Error</t>
  </si>
  <si>
    <t>Time</t>
  </si>
  <si>
    <t xml:space="preserve">  </t>
  </si>
  <si>
    <t>NoHap_DistanceError - Ring_DistanceError</t>
  </si>
  <si>
    <t>Hap_DistanceError - NoHap_DistanceError</t>
  </si>
  <si>
    <t>Ring_DistanceError - Hap_DistanceError</t>
  </si>
  <si>
    <r>
      <t>-3.726</t>
    </r>
    <r>
      <rPr>
        <vertAlign val="superscript"/>
        <sz val="9"/>
        <color indexed="8"/>
        <rFont val="Arial"/>
        <family val="2"/>
      </rPr>
      <t>b</t>
    </r>
  </si>
  <si>
    <r>
      <t>-2.895</t>
    </r>
    <r>
      <rPr>
        <vertAlign val="superscript"/>
        <sz val="9"/>
        <color indexed="8"/>
        <rFont val="Arial"/>
        <family val="2"/>
      </rPr>
      <t>c</t>
    </r>
  </si>
  <si>
    <r>
      <t>-1.580</t>
    </r>
    <r>
      <rPr>
        <vertAlign val="superscript"/>
        <sz val="9"/>
        <color indexed="8"/>
        <rFont val="Arial"/>
        <family val="2"/>
      </rPr>
      <t>c</t>
    </r>
  </si>
  <si>
    <t>NOHap_Trials - Hap_Trials</t>
  </si>
  <si>
    <t>Ring_Tials - NOHap_Trials</t>
  </si>
  <si>
    <t>Hap_Trials - Ring_Tials</t>
  </si>
  <si>
    <r>
      <t>-.534</t>
    </r>
    <r>
      <rPr>
        <vertAlign val="superscript"/>
        <sz val="9"/>
        <color indexed="8"/>
        <rFont val="Arial"/>
        <family val="2"/>
      </rPr>
      <t>b</t>
    </r>
  </si>
  <si>
    <r>
      <t>-1.820</t>
    </r>
    <r>
      <rPr>
        <vertAlign val="superscript"/>
        <sz val="9"/>
        <color indexed="8"/>
        <rFont val="Arial"/>
        <family val="2"/>
      </rPr>
      <t>c</t>
    </r>
  </si>
  <si>
    <t>NoHap_Time - Hap_Time</t>
  </si>
  <si>
    <t>Ring_Time - NoHap_Time</t>
  </si>
  <si>
    <r>
      <t>-1.274</t>
    </r>
    <r>
      <rPr>
        <vertAlign val="superscript"/>
        <sz val="9"/>
        <color indexed="8"/>
        <rFont val="Arial"/>
        <family val="2"/>
      </rPr>
      <t>b</t>
    </r>
  </si>
  <si>
    <r>
      <t>-2.756</t>
    </r>
    <r>
      <rPr>
        <vertAlign val="superscript"/>
        <sz val="9"/>
        <color indexed="8"/>
        <rFont val="Arial"/>
        <family val="2"/>
      </rPr>
      <t>c</t>
    </r>
  </si>
  <si>
    <r>
      <t>-1.867</t>
    </r>
    <r>
      <rPr>
        <vertAlign val="superscript"/>
        <sz val="9"/>
        <color indexed="8"/>
        <rFont val="Arial"/>
        <family val="2"/>
      </rPr>
      <t>b</t>
    </r>
  </si>
  <si>
    <t>YR_e - YH_e</t>
  </si>
  <si>
    <t>YW_e - YR_e</t>
  </si>
  <si>
    <t>YH_e - YW_e</t>
  </si>
  <si>
    <r>
      <t>-2.179</t>
    </r>
    <r>
      <rPr>
        <vertAlign val="superscript"/>
        <sz val="9"/>
        <color indexed="8"/>
        <rFont val="Arial"/>
        <family val="2"/>
      </rPr>
      <t>b</t>
    </r>
  </si>
  <si>
    <r>
      <t>-2.713</t>
    </r>
    <r>
      <rPr>
        <vertAlign val="superscript"/>
        <sz val="9"/>
        <color indexed="8"/>
        <rFont val="Arial"/>
        <family val="2"/>
      </rPr>
      <t>c</t>
    </r>
  </si>
  <si>
    <r>
      <t>-.978</t>
    </r>
    <r>
      <rPr>
        <vertAlign val="superscript"/>
        <sz val="9"/>
        <color indexed="8"/>
        <rFont val="Arial"/>
        <family val="2"/>
      </rPr>
      <t>b</t>
    </r>
  </si>
  <si>
    <t>ZW_e - Zh_e</t>
  </si>
  <si>
    <t>Zh_e - ZR_e</t>
  </si>
  <si>
    <r>
      <t>-2.578</t>
    </r>
    <r>
      <rPr>
        <vertAlign val="superscript"/>
        <sz val="9"/>
        <color indexed="8"/>
        <rFont val="Arial"/>
        <family val="2"/>
      </rPr>
      <t>b</t>
    </r>
  </si>
  <si>
    <r>
      <t>-2.045</t>
    </r>
    <r>
      <rPr>
        <vertAlign val="superscript"/>
        <sz val="9"/>
        <color indexed="8"/>
        <rFont val="Arial"/>
        <family val="2"/>
      </rPr>
      <t>c</t>
    </r>
  </si>
  <si>
    <r>
      <t>-1.479</t>
    </r>
    <r>
      <rPr>
        <vertAlign val="superscript"/>
        <sz val="9"/>
        <color indexed="8"/>
        <rFont val="Arial"/>
        <family val="2"/>
      </rPr>
      <t>c</t>
    </r>
  </si>
  <si>
    <r>
      <t>-2.414</t>
    </r>
    <r>
      <rPr>
        <vertAlign val="superscript"/>
        <sz val="9"/>
        <color indexed="8"/>
        <rFont val="Arial"/>
        <family val="2"/>
      </rPr>
      <t>b</t>
    </r>
  </si>
  <si>
    <r>
      <t>-1.265</t>
    </r>
    <r>
      <rPr>
        <vertAlign val="superscript"/>
        <sz val="9"/>
        <color indexed="8"/>
        <rFont val="Arial"/>
        <family val="2"/>
      </rPr>
      <t>c</t>
    </r>
  </si>
  <si>
    <r>
      <t>-1.196</t>
    </r>
    <r>
      <rPr>
        <vertAlign val="superscript"/>
        <sz val="9"/>
        <color indexed="8"/>
        <rFont val="Arial"/>
        <family val="2"/>
      </rPr>
      <t>c</t>
    </r>
  </si>
  <si>
    <t>YW_pn - YR_pn</t>
  </si>
  <si>
    <t>Yh_pn - YW_pn</t>
  </si>
  <si>
    <r>
      <t>-1.063</t>
    </r>
    <r>
      <rPr>
        <vertAlign val="superscript"/>
        <sz val="9"/>
        <color indexed="8"/>
        <rFont val="Arial"/>
        <family val="2"/>
      </rPr>
      <t>b</t>
    </r>
  </si>
  <si>
    <r>
      <t>-1.137</t>
    </r>
    <r>
      <rPr>
        <vertAlign val="superscript"/>
        <sz val="9"/>
        <color indexed="8"/>
        <rFont val="Arial"/>
        <family val="2"/>
      </rPr>
      <t>c</t>
    </r>
  </si>
  <si>
    <r>
      <t>-.333</t>
    </r>
    <r>
      <rPr>
        <vertAlign val="superscript"/>
        <sz val="9"/>
        <color indexed="8"/>
        <rFont val="Arial"/>
        <family val="2"/>
      </rPr>
      <t>b</t>
    </r>
  </si>
  <si>
    <t>Hap_Time - Ring_Time</t>
  </si>
  <si>
    <r>
      <t>-1.041</t>
    </r>
    <r>
      <rPr>
        <vertAlign val="superscript"/>
        <sz val="9"/>
        <color indexed="8"/>
        <rFont val="Arial"/>
        <family val="2"/>
      </rPr>
      <t>b</t>
    </r>
  </si>
  <si>
    <r>
      <t>-3.244</t>
    </r>
    <r>
      <rPr>
        <vertAlign val="superscript"/>
        <sz val="9"/>
        <color indexed="8"/>
        <rFont val="Arial"/>
        <family val="2"/>
      </rPr>
      <t>c</t>
    </r>
  </si>
  <si>
    <r>
      <t>-2.417</t>
    </r>
    <r>
      <rPr>
        <vertAlign val="superscript"/>
        <sz val="9"/>
        <color indexed="8"/>
        <rFont val="Arial"/>
        <family val="2"/>
      </rPr>
      <t>b</t>
    </r>
  </si>
  <si>
    <r>
      <t>-1.667</t>
    </r>
    <r>
      <rPr>
        <vertAlign val="superscript"/>
        <sz val="9"/>
        <color indexed="8"/>
        <rFont val="Arial"/>
        <family val="2"/>
      </rPr>
      <t>b</t>
    </r>
  </si>
  <si>
    <r>
      <t>-1.300</t>
    </r>
    <r>
      <rPr>
        <vertAlign val="superscript"/>
        <sz val="9"/>
        <color indexed="8"/>
        <rFont val="Arial"/>
        <family val="2"/>
      </rPr>
      <t>c</t>
    </r>
  </si>
  <si>
    <r>
      <t>-.333</t>
    </r>
    <r>
      <rPr>
        <vertAlign val="superscript"/>
        <sz val="9"/>
        <color indexed="8"/>
        <rFont val="Arial"/>
        <family val="2"/>
      </rPr>
      <t>c</t>
    </r>
  </si>
  <si>
    <t>YW_t - YR_t</t>
  </si>
  <si>
    <t>YR_t - YH_t</t>
  </si>
  <si>
    <t>YW_t - YH_t</t>
  </si>
  <si>
    <r>
      <t>-1.787</t>
    </r>
    <r>
      <rPr>
        <vertAlign val="superscript"/>
        <sz val="9"/>
        <color indexed="8"/>
        <rFont val="Arial"/>
        <family val="2"/>
      </rPr>
      <t>b</t>
    </r>
  </si>
  <si>
    <r>
      <t>-.837</t>
    </r>
    <r>
      <rPr>
        <vertAlign val="superscript"/>
        <sz val="9"/>
        <color indexed="8"/>
        <rFont val="Arial"/>
        <family val="2"/>
      </rPr>
      <t>b</t>
    </r>
  </si>
  <si>
    <t>With HapticXX (glove)</t>
  </si>
  <si>
    <t>Xhaptic (ring)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</si>
</sst>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h:mm:ss;@"/>
    <numFmt numFmtId="165" formatCode="hh:mm:ss;@"/>
    <numFmt numFmtId="166" formatCode="0.000000"/>
    <numFmt numFmtId="167" formatCode="0.0000"/>
    <numFmt numFmtId="168" formatCode="0.000"/>
    <numFmt numFmtId="169" formatCode="0.000000000000000000"/>
    <numFmt numFmtId="170" formatCode="[s]"/>
    <numFmt numFmtId="171" formatCode="####.000"/>
    <numFmt numFmtId="172" formatCode="###0"/>
    <numFmt numFmtId="173" formatCode="####.00000"/>
    <numFmt numFmtId="174" formatCode="###0.000"/>
    <numFmt numFmtId="175" formatCode="###0.00000"/>
    <numFmt numFmtId="176" formatCode="0.0"/>
  </numFmts>
  <fonts count="9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vertAlign val="superscript"/>
      <sz val="9"/>
      <color indexed="8"/>
      <name val="Arial Bold"/>
    </font>
    <font>
      <b/>
      <sz val="9"/>
      <color indexed="8"/>
      <name val="Arial Bold"/>
    </font>
    <font>
      <sz val="9"/>
      <color indexed="8"/>
      <name val="Arial"/>
      <family val="2"/>
    </font>
    <font>
      <vertAlign val="superscript"/>
      <sz val="9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</fills>
  <borders count="35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ck">
        <color indexed="8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</cellStyleXfs>
  <cellXfs count="367">
    <xf numFmtId="0" fontId="0" fillId="0" borderId="0" xfId="0"/>
    <xf numFmtId="0" fontId="0" fillId="3" borderId="0" xfId="0" applyFill="1"/>
    <xf numFmtId="0" fontId="0" fillId="4" borderId="0" xfId="0" applyFill="1"/>
    <xf numFmtId="21" fontId="0" fillId="0" borderId="0" xfId="0" applyNumberFormat="1"/>
    <xf numFmtId="0" fontId="0" fillId="5" borderId="0" xfId="0" applyFill="1"/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2" borderId="0" xfId="0" applyFill="1"/>
    <xf numFmtId="0" fontId="0" fillId="9" borderId="0" xfId="0" applyFill="1"/>
    <xf numFmtId="0" fontId="0" fillId="10" borderId="0" xfId="0" applyFill="1"/>
    <xf numFmtId="0" fontId="2" fillId="0" borderId="0" xfId="1"/>
    <xf numFmtId="0" fontId="5" fillId="10" borderId="7" xfId="1" applyFont="1" applyFill="1" applyBorder="1" applyAlignment="1">
      <alignment horizontal="center" wrapText="1"/>
    </xf>
    <xf numFmtId="0" fontId="5" fillId="10" borderId="8" xfId="1" applyFont="1" applyFill="1" applyBorder="1" applyAlignment="1">
      <alignment horizontal="center" wrapText="1"/>
    </xf>
    <xf numFmtId="0" fontId="5" fillId="10" borderId="9" xfId="1" applyFont="1" applyFill="1" applyBorder="1" applyAlignment="1">
      <alignment horizontal="center" wrapText="1"/>
    </xf>
    <xf numFmtId="0" fontId="5" fillId="10" borderId="2" xfId="1" applyFont="1" applyFill="1" applyBorder="1" applyAlignment="1">
      <alignment horizontal="left" vertical="top" wrapText="1"/>
    </xf>
    <xf numFmtId="171" fontId="5" fillId="10" borderId="10" xfId="1" applyNumberFormat="1" applyFont="1" applyFill="1" applyBorder="1" applyAlignment="1">
      <alignment horizontal="right" vertical="center"/>
    </xf>
    <xf numFmtId="172" fontId="5" fillId="10" borderId="11" xfId="1" applyNumberFormat="1" applyFont="1" applyFill="1" applyBorder="1" applyAlignment="1">
      <alignment horizontal="right" vertical="center"/>
    </xf>
    <xf numFmtId="171" fontId="5" fillId="10" borderId="11" xfId="1" applyNumberFormat="1" applyFont="1" applyFill="1" applyBorder="1" applyAlignment="1">
      <alignment horizontal="right" vertical="center"/>
    </xf>
    <xf numFmtId="171" fontId="5" fillId="10" borderId="12" xfId="1" applyNumberFormat="1" applyFont="1" applyFill="1" applyBorder="1" applyAlignment="1">
      <alignment horizontal="right" vertical="center"/>
    </xf>
    <xf numFmtId="0" fontId="5" fillId="10" borderId="33" xfId="1" applyFont="1" applyFill="1" applyBorder="1" applyAlignment="1">
      <alignment horizontal="left" vertical="top" wrapText="1"/>
    </xf>
    <xf numFmtId="171" fontId="5" fillId="10" borderId="30" xfId="1" applyNumberFormat="1" applyFont="1" applyFill="1" applyBorder="1" applyAlignment="1">
      <alignment horizontal="right" vertical="center"/>
    </xf>
    <xf numFmtId="172" fontId="5" fillId="10" borderId="31" xfId="1" applyNumberFormat="1" applyFont="1" applyFill="1" applyBorder="1" applyAlignment="1">
      <alignment horizontal="right" vertical="center"/>
    </xf>
    <xf numFmtId="171" fontId="5" fillId="10" borderId="31" xfId="1" applyNumberFormat="1" applyFont="1" applyFill="1" applyBorder="1" applyAlignment="1">
      <alignment horizontal="right" vertical="center"/>
    </xf>
    <xf numFmtId="171" fontId="5" fillId="10" borderId="32" xfId="1" applyNumberFormat="1" applyFont="1" applyFill="1" applyBorder="1" applyAlignment="1">
      <alignment horizontal="right" vertical="center"/>
    </xf>
    <xf numFmtId="0" fontId="5" fillId="10" borderId="3" xfId="1" applyFont="1" applyFill="1" applyBorder="1" applyAlignment="1">
      <alignment horizontal="left" vertical="top" wrapText="1"/>
    </xf>
    <xf numFmtId="171" fontId="5" fillId="10" borderId="13" xfId="1" applyNumberFormat="1" applyFont="1" applyFill="1" applyBorder="1" applyAlignment="1">
      <alignment horizontal="right" vertical="center"/>
    </xf>
    <xf numFmtId="172" fontId="5" fillId="10" borderId="14" xfId="1" applyNumberFormat="1" applyFont="1" applyFill="1" applyBorder="1" applyAlignment="1">
      <alignment horizontal="right" vertical="center"/>
    </xf>
    <xf numFmtId="171" fontId="5" fillId="10" borderId="14" xfId="1" applyNumberFormat="1" applyFont="1" applyFill="1" applyBorder="1" applyAlignment="1">
      <alignment horizontal="right" vertical="center"/>
    </xf>
    <xf numFmtId="171" fontId="5" fillId="10" borderId="15" xfId="1" applyNumberFormat="1" applyFont="1" applyFill="1" applyBorder="1" applyAlignment="1">
      <alignment horizontal="right" vertical="center"/>
    </xf>
    <xf numFmtId="0" fontId="0" fillId="11" borderId="0" xfId="0" applyFill="1"/>
    <xf numFmtId="0" fontId="5" fillId="11" borderId="7" xfId="1" applyFont="1" applyFill="1" applyBorder="1" applyAlignment="1">
      <alignment horizontal="center" wrapText="1"/>
    </xf>
    <xf numFmtId="0" fontId="5" fillId="11" borderId="8" xfId="1" applyFont="1" applyFill="1" applyBorder="1" applyAlignment="1">
      <alignment horizontal="center" wrapText="1"/>
    </xf>
    <xf numFmtId="0" fontId="5" fillId="11" borderId="9" xfId="1" applyFont="1" applyFill="1" applyBorder="1" applyAlignment="1">
      <alignment horizontal="center" wrapText="1"/>
    </xf>
    <xf numFmtId="0" fontId="5" fillId="11" borderId="2" xfId="1" applyFont="1" applyFill="1" applyBorder="1" applyAlignment="1">
      <alignment horizontal="left" vertical="top" wrapText="1"/>
    </xf>
    <xf numFmtId="171" fontId="5" fillId="11" borderId="10" xfId="1" applyNumberFormat="1" applyFont="1" applyFill="1" applyBorder="1" applyAlignment="1">
      <alignment horizontal="right" vertical="center"/>
    </xf>
    <xf numFmtId="172" fontId="5" fillId="11" borderId="11" xfId="1" applyNumberFormat="1" applyFont="1" applyFill="1" applyBorder="1" applyAlignment="1">
      <alignment horizontal="right" vertical="center"/>
    </xf>
    <xf numFmtId="171" fontId="5" fillId="11" borderId="11" xfId="1" applyNumberFormat="1" applyFont="1" applyFill="1" applyBorder="1" applyAlignment="1">
      <alignment horizontal="right" vertical="center"/>
    </xf>
    <xf numFmtId="171" fontId="5" fillId="11" borderId="12" xfId="1" applyNumberFormat="1" applyFont="1" applyFill="1" applyBorder="1" applyAlignment="1">
      <alignment horizontal="right" vertical="center"/>
    </xf>
    <xf numFmtId="0" fontId="5" fillId="11" borderId="33" xfId="1" applyFont="1" applyFill="1" applyBorder="1" applyAlignment="1">
      <alignment horizontal="left" vertical="top" wrapText="1"/>
    </xf>
    <xf numFmtId="171" fontId="5" fillId="11" borderId="30" xfId="1" applyNumberFormat="1" applyFont="1" applyFill="1" applyBorder="1" applyAlignment="1">
      <alignment horizontal="right" vertical="center"/>
    </xf>
    <xf numFmtId="172" fontId="5" fillId="11" borderId="31" xfId="1" applyNumberFormat="1" applyFont="1" applyFill="1" applyBorder="1" applyAlignment="1">
      <alignment horizontal="right" vertical="center"/>
    </xf>
    <xf numFmtId="171" fontId="5" fillId="11" borderId="31" xfId="1" applyNumberFormat="1" applyFont="1" applyFill="1" applyBorder="1" applyAlignment="1">
      <alignment horizontal="right" vertical="center"/>
    </xf>
    <xf numFmtId="171" fontId="5" fillId="11" borderId="32" xfId="1" applyNumberFormat="1" applyFont="1" applyFill="1" applyBorder="1" applyAlignment="1">
      <alignment horizontal="right" vertical="center"/>
    </xf>
    <xf numFmtId="0" fontId="5" fillId="11" borderId="3" xfId="1" applyFont="1" applyFill="1" applyBorder="1" applyAlignment="1">
      <alignment horizontal="left" vertical="top" wrapText="1"/>
    </xf>
    <xf numFmtId="171" fontId="5" fillId="11" borderId="13" xfId="1" applyNumberFormat="1" applyFont="1" applyFill="1" applyBorder="1" applyAlignment="1">
      <alignment horizontal="right" vertical="center"/>
    </xf>
    <xf numFmtId="172" fontId="5" fillId="11" borderId="14" xfId="1" applyNumberFormat="1" applyFont="1" applyFill="1" applyBorder="1" applyAlignment="1">
      <alignment horizontal="right" vertical="center"/>
    </xf>
    <xf numFmtId="171" fontId="5" fillId="11" borderId="14" xfId="1" applyNumberFormat="1" applyFont="1" applyFill="1" applyBorder="1" applyAlignment="1">
      <alignment horizontal="right" vertical="center"/>
    </xf>
    <xf numFmtId="171" fontId="5" fillId="11" borderId="15" xfId="1" applyNumberFormat="1" applyFont="1" applyFill="1" applyBorder="1" applyAlignment="1">
      <alignment horizontal="right" vertical="center"/>
    </xf>
    <xf numFmtId="0" fontId="5" fillId="2" borderId="7" xfId="1" applyFont="1" applyFill="1" applyBorder="1" applyAlignment="1">
      <alignment horizontal="center" wrapText="1"/>
    </xf>
    <xf numFmtId="0" fontId="5" fillId="2" borderId="8" xfId="1" applyFont="1" applyFill="1" applyBorder="1" applyAlignment="1">
      <alignment horizontal="center" wrapText="1"/>
    </xf>
    <xf numFmtId="0" fontId="5" fillId="2" borderId="9" xfId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left" vertical="top" wrapText="1"/>
    </xf>
    <xf numFmtId="171" fontId="5" fillId="2" borderId="10" xfId="1" applyNumberFormat="1" applyFont="1" applyFill="1" applyBorder="1" applyAlignment="1">
      <alignment horizontal="right" vertical="center"/>
    </xf>
    <xf numFmtId="172" fontId="5" fillId="2" borderId="11" xfId="1" applyNumberFormat="1" applyFont="1" applyFill="1" applyBorder="1" applyAlignment="1">
      <alignment horizontal="right" vertical="center"/>
    </xf>
    <xf numFmtId="0" fontId="5" fillId="2" borderId="11" xfId="1" applyFont="1" applyFill="1" applyBorder="1" applyAlignment="1">
      <alignment horizontal="right" vertical="center"/>
    </xf>
    <xf numFmtId="171" fontId="5" fillId="2" borderId="11" xfId="1" applyNumberFormat="1" applyFont="1" applyFill="1" applyBorder="1" applyAlignment="1">
      <alignment horizontal="right" vertical="center"/>
    </xf>
    <xf numFmtId="171" fontId="5" fillId="2" borderId="12" xfId="1" applyNumberFormat="1" applyFont="1" applyFill="1" applyBorder="1" applyAlignment="1">
      <alignment horizontal="right" vertical="center"/>
    </xf>
    <xf numFmtId="0" fontId="5" fillId="2" borderId="33" xfId="1" applyFont="1" applyFill="1" applyBorder="1" applyAlignment="1">
      <alignment horizontal="left" vertical="top" wrapText="1"/>
    </xf>
    <xf numFmtId="171" fontId="5" fillId="2" borderId="30" xfId="1" applyNumberFormat="1" applyFont="1" applyFill="1" applyBorder="1" applyAlignment="1">
      <alignment horizontal="right" vertical="center"/>
    </xf>
    <xf numFmtId="172" fontId="5" fillId="2" borderId="31" xfId="1" applyNumberFormat="1" applyFont="1" applyFill="1" applyBorder="1" applyAlignment="1">
      <alignment horizontal="right" vertical="center"/>
    </xf>
    <xf numFmtId="0" fontId="5" fillId="2" borderId="31" xfId="1" applyFont="1" applyFill="1" applyBorder="1" applyAlignment="1">
      <alignment horizontal="right" vertical="center"/>
    </xf>
    <xf numFmtId="171" fontId="5" fillId="2" borderId="31" xfId="1" applyNumberFormat="1" applyFont="1" applyFill="1" applyBorder="1" applyAlignment="1">
      <alignment horizontal="right" vertical="center"/>
    </xf>
    <xf numFmtId="171" fontId="5" fillId="2" borderId="32" xfId="1" applyNumberFormat="1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left" vertical="top" wrapText="1"/>
    </xf>
    <xf numFmtId="171" fontId="5" fillId="2" borderId="13" xfId="1" applyNumberFormat="1" applyFont="1" applyFill="1" applyBorder="1" applyAlignment="1">
      <alignment horizontal="right" vertical="center"/>
    </xf>
    <xf numFmtId="172" fontId="5" fillId="2" borderId="14" xfId="1" applyNumberFormat="1" applyFont="1" applyFill="1" applyBorder="1" applyAlignment="1">
      <alignment horizontal="right" vertical="center"/>
    </xf>
    <xf numFmtId="0" fontId="5" fillId="2" borderId="14" xfId="1" applyFont="1" applyFill="1" applyBorder="1" applyAlignment="1">
      <alignment horizontal="right" vertical="center"/>
    </xf>
    <xf numFmtId="171" fontId="5" fillId="2" borderId="14" xfId="1" applyNumberFormat="1" applyFont="1" applyFill="1" applyBorder="1" applyAlignment="1">
      <alignment horizontal="right" vertical="center"/>
    </xf>
    <xf numFmtId="171" fontId="5" fillId="2" borderId="15" xfId="1" applyNumberFormat="1" applyFont="1" applyFill="1" applyBorder="1" applyAlignment="1">
      <alignment horizontal="right" vertical="center"/>
    </xf>
    <xf numFmtId="0" fontId="5" fillId="9" borderId="7" xfId="1" applyFont="1" applyFill="1" applyBorder="1" applyAlignment="1">
      <alignment horizontal="center" wrapText="1"/>
    </xf>
    <xf numFmtId="0" fontId="5" fillId="9" borderId="8" xfId="1" applyFont="1" applyFill="1" applyBorder="1" applyAlignment="1">
      <alignment horizontal="center" wrapText="1"/>
    </xf>
    <xf numFmtId="0" fontId="5" fillId="9" borderId="9" xfId="1" applyFont="1" applyFill="1" applyBorder="1" applyAlignment="1">
      <alignment horizontal="center" wrapText="1"/>
    </xf>
    <xf numFmtId="0" fontId="5" fillId="9" borderId="2" xfId="1" applyFont="1" applyFill="1" applyBorder="1" applyAlignment="1">
      <alignment horizontal="left" vertical="top" wrapText="1"/>
    </xf>
    <xf numFmtId="171" fontId="5" fillId="9" borderId="10" xfId="1" applyNumberFormat="1" applyFont="1" applyFill="1" applyBorder="1" applyAlignment="1">
      <alignment horizontal="right" vertical="center"/>
    </xf>
    <xf numFmtId="172" fontId="5" fillId="9" borderId="11" xfId="1" applyNumberFormat="1" applyFont="1" applyFill="1" applyBorder="1" applyAlignment="1">
      <alignment horizontal="right" vertical="center"/>
    </xf>
    <xf numFmtId="171" fontId="5" fillId="9" borderId="11" xfId="1" applyNumberFormat="1" applyFont="1" applyFill="1" applyBorder="1" applyAlignment="1">
      <alignment horizontal="right" vertical="center"/>
    </xf>
    <xf numFmtId="171" fontId="5" fillId="9" borderId="12" xfId="1" applyNumberFormat="1" applyFont="1" applyFill="1" applyBorder="1" applyAlignment="1">
      <alignment horizontal="right" vertical="center"/>
    </xf>
    <xf numFmtId="0" fontId="5" fillId="9" borderId="33" xfId="1" applyFont="1" applyFill="1" applyBorder="1" applyAlignment="1">
      <alignment horizontal="left" vertical="top" wrapText="1"/>
    </xf>
    <xf numFmtId="171" fontId="5" fillId="9" borderId="30" xfId="1" applyNumberFormat="1" applyFont="1" applyFill="1" applyBorder="1" applyAlignment="1">
      <alignment horizontal="right" vertical="center"/>
    </xf>
    <xf numFmtId="172" fontId="5" fillId="9" borderId="31" xfId="1" applyNumberFormat="1" applyFont="1" applyFill="1" applyBorder="1" applyAlignment="1">
      <alignment horizontal="right" vertical="center"/>
    </xf>
    <xf numFmtId="171" fontId="5" fillId="9" borderId="31" xfId="1" applyNumberFormat="1" applyFont="1" applyFill="1" applyBorder="1" applyAlignment="1">
      <alignment horizontal="right" vertical="center"/>
    </xf>
    <xf numFmtId="171" fontId="5" fillId="9" borderId="32" xfId="1" applyNumberFormat="1" applyFont="1" applyFill="1" applyBorder="1" applyAlignment="1">
      <alignment horizontal="right" vertical="center"/>
    </xf>
    <xf numFmtId="0" fontId="5" fillId="9" borderId="3" xfId="1" applyFont="1" applyFill="1" applyBorder="1" applyAlignment="1">
      <alignment horizontal="left" vertical="top" wrapText="1"/>
    </xf>
    <xf numFmtId="171" fontId="5" fillId="9" borderId="13" xfId="1" applyNumberFormat="1" applyFont="1" applyFill="1" applyBorder="1" applyAlignment="1">
      <alignment horizontal="right" vertical="center"/>
    </xf>
    <xf numFmtId="172" fontId="5" fillId="9" borderId="14" xfId="1" applyNumberFormat="1" applyFont="1" applyFill="1" applyBorder="1" applyAlignment="1">
      <alignment horizontal="right" vertical="center"/>
    </xf>
    <xf numFmtId="171" fontId="5" fillId="9" borderId="14" xfId="1" applyNumberFormat="1" applyFont="1" applyFill="1" applyBorder="1" applyAlignment="1">
      <alignment horizontal="right" vertical="center"/>
    </xf>
    <xf numFmtId="171" fontId="5" fillId="9" borderId="15" xfId="1" applyNumberFormat="1" applyFont="1" applyFill="1" applyBorder="1" applyAlignment="1">
      <alignment horizontal="right" vertical="center"/>
    </xf>
    <xf numFmtId="0" fontId="0" fillId="12" borderId="0" xfId="0" applyFill="1"/>
    <xf numFmtId="0" fontId="5" fillId="12" borderId="7" xfId="1" applyFont="1" applyFill="1" applyBorder="1" applyAlignment="1">
      <alignment horizontal="center" wrapText="1"/>
    </xf>
    <xf numFmtId="0" fontId="5" fillId="12" borderId="8" xfId="1" applyFont="1" applyFill="1" applyBorder="1" applyAlignment="1">
      <alignment horizontal="center" wrapText="1"/>
    </xf>
    <xf numFmtId="0" fontId="5" fillId="12" borderId="9" xfId="1" applyFont="1" applyFill="1" applyBorder="1" applyAlignment="1">
      <alignment horizontal="center" wrapText="1"/>
    </xf>
    <xf numFmtId="0" fontId="5" fillId="12" borderId="2" xfId="1" applyFont="1" applyFill="1" applyBorder="1" applyAlignment="1">
      <alignment horizontal="left" vertical="top" wrapText="1"/>
    </xf>
    <xf numFmtId="171" fontId="5" fillId="12" borderId="10" xfId="1" applyNumberFormat="1" applyFont="1" applyFill="1" applyBorder="1" applyAlignment="1">
      <alignment horizontal="right" vertical="center"/>
    </xf>
    <xf numFmtId="172" fontId="5" fillId="12" borderId="11" xfId="1" applyNumberFormat="1" applyFont="1" applyFill="1" applyBorder="1" applyAlignment="1">
      <alignment horizontal="right" vertical="center"/>
    </xf>
    <xf numFmtId="171" fontId="5" fillId="12" borderId="11" xfId="1" applyNumberFormat="1" applyFont="1" applyFill="1" applyBorder="1" applyAlignment="1">
      <alignment horizontal="right" vertical="center"/>
    </xf>
    <xf numFmtId="171" fontId="5" fillId="12" borderId="12" xfId="1" applyNumberFormat="1" applyFont="1" applyFill="1" applyBorder="1" applyAlignment="1">
      <alignment horizontal="right" vertical="center"/>
    </xf>
    <xf numFmtId="0" fontId="5" fillId="12" borderId="33" xfId="1" applyFont="1" applyFill="1" applyBorder="1" applyAlignment="1">
      <alignment horizontal="left" vertical="top" wrapText="1"/>
    </xf>
    <xf numFmtId="171" fontId="5" fillId="12" borderId="30" xfId="1" applyNumberFormat="1" applyFont="1" applyFill="1" applyBorder="1" applyAlignment="1">
      <alignment horizontal="right" vertical="center"/>
    </xf>
    <xf numFmtId="172" fontId="5" fillId="12" borderId="31" xfId="1" applyNumberFormat="1" applyFont="1" applyFill="1" applyBorder="1" applyAlignment="1">
      <alignment horizontal="right" vertical="center"/>
    </xf>
    <xf numFmtId="171" fontId="5" fillId="12" borderId="31" xfId="1" applyNumberFormat="1" applyFont="1" applyFill="1" applyBorder="1" applyAlignment="1">
      <alignment horizontal="right" vertical="center"/>
    </xf>
    <xf numFmtId="171" fontId="5" fillId="12" borderId="32" xfId="1" applyNumberFormat="1" applyFont="1" applyFill="1" applyBorder="1" applyAlignment="1">
      <alignment horizontal="right" vertical="center"/>
    </xf>
    <xf numFmtId="0" fontId="5" fillId="12" borderId="3" xfId="1" applyFont="1" applyFill="1" applyBorder="1" applyAlignment="1">
      <alignment horizontal="left" vertical="top" wrapText="1"/>
    </xf>
    <xf numFmtId="171" fontId="5" fillId="12" borderId="13" xfId="1" applyNumberFormat="1" applyFont="1" applyFill="1" applyBorder="1" applyAlignment="1">
      <alignment horizontal="right" vertical="center"/>
    </xf>
    <xf numFmtId="172" fontId="5" fillId="12" borderId="14" xfId="1" applyNumberFormat="1" applyFont="1" applyFill="1" applyBorder="1" applyAlignment="1">
      <alignment horizontal="right" vertical="center"/>
    </xf>
    <xf numFmtId="0" fontId="5" fillId="12" borderId="14" xfId="1" applyFont="1" applyFill="1" applyBorder="1" applyAlignment="1">
      <alignment horizontal="right" vertical="center"/>
    </xf>
    <xf numFmtId="171" fontId="5" fillId="12" borderId="14" xfId="1" applyNumberFormat="1" applyFont="1" applyFill="1" applyBorder="1" applyAlignment="1">
      <alignment horizontal="right" vertical="center"/>
    </xf>
    <xf numFmtId="171" fontId="5" fillId="12" borderId="15" xfId="1" applyNumberFormat="1" applyFont="1" applyFill="1" applyBorder="1" applyAlignment="1">
      <alignment horizontal="right" vertical="center"/>
    </xf>
    <xf numFmtId="0" fontId="2" fillId="12" borderId="0" xfId="1" applyFill="1"/>
    <xf numFmtId="0" fontId="5" fillId="13" borderId="7" xfId="1" applyFont="1" applyFill="1" applyBorder="1" applyAlignment="1">
      <alignment horizontal="center" wrapText="1"/>
    </xf>
    <xf numFmtId="0" fontId="5" fillId="13" borderId="8" xfId="1" applyFont="1" applyFill="1" applyBorder="1" applyAlignment="1">
      <alignment horizontal="center" wrapText="1"/>
    </xf>
    <xf numFmtId="0" fontId="5" fillId="13" borderId="9" xfId="1" applyFont="1" applyFill="1" applyBorder="1" applyAlignment="1">
      <alignment horizontal="center" wrapText="1"/>
    </xf>
    <xf numFmtId="0" fontId="5" fillId="13" borderId="2" xfId="1" applyFont="1" applyFill="1" applyBorder="1" applyAlignment="1">
      <alignment horizontal="left" vertical="top" wrapText="1"/>
    </xf>
    <xf numFmtId="171" fontId="5" fillId="13" borderId="10" xfId="1" applyNumberFormat="1" applyFont="1" applyFill="1" applyBorder="1" applyAlignment="1">
      <alignment horizontal="right" vertical="center"/>
    </xf>
    <xf numFmtId="172" fontId="5" fillId="13" borderId="11" xfId="1" applyNumberFormat="1" applyFont="1" applyFill="1" applyBorder="1" applyAlignment="1">
      <alignment horizontal="right" vertical="center"/>
    </xf>
    <xf numFmtId="171" fontId="5" fillId="13" borderId="11" xfId="1" applyNumberFormat="1" applyFont="1" applyFill="1" applyBorder="1" applyAlignment="1">
      <alignment horizontal="right" vertical="center"/>
    </xf>
    <xf numFmtId="171" fontId="5" fillId="13" borderId="12" xfId="1" applyNumberFormat="1" applyFont="1" applyFill="1" applyBorder="1" applyAlignment="1">
      <alignment horizontal="right" vertical="center"/>
    </xf>
    <xf numFmtId="0" fontId="5" fillId="13" borderId="33" xfId="1" applyFont="1" applyFill="1" applyBorder="1" applyAlignment="1">
      <alignment horizontal="left" vertical="top" wrapText="1"/>
    </xf>
    <xf numFmtId="171" fontId="5" fillId="13" borderId="30" xfId="1" applyNumberFormat="1" applyFont="1" applyFill="1" applyBorder="1" applyAlignment="1">
      <alignment horizontal="right" vertical="center"/>
    </xf>
    <xf numFmtId="172" fontId="5" fillId="13" borderId="31" xfId="1" applyNumberFormat="1" applyFont="1" applyFill="1" applyBorder="1" applyAlignment="1">
      <alignment horizontal="right" vertical="center"/>
    </xf>
    <xf numFmtId="0" fontId="5" fillId="13" borderId="31" xfId="1" applyFont="1" applyFill="1" applyBorder="1" applyAlignment="1">
      <alignment horizontal="right" vertical="center"/>
    </xf>
    <xf numFmtId="171" fontId="5" fillId="13" borderId="31" xfId="1" applyNumberFormat="1" applyFont="1" applyFill="1" applyBorder="1" applyAlignment="1">
      <alignment horizontal="right" vertical="center"/>
    </xf>
    <xf numFmtId="171" fontId="5" fillId="13" borderId="32" xfId="1" applyNumberFormat="1" applyFont="1" applyFill="1" applyBorder="1" applyAlignment="1">
      <alignment horizontal="right" vertical="center"/>
    </xf>
    <xf numFmtId="0" fontId="5" fillId="13" borderId="3" xfId="1" applyFont="1" applyFill="1" applyBorder="1" applyAlignment="1">
      <alignment horizontal="left" vertical="top" wrapText="1"/>
    </xf>
    <xf numFmtId="171" fontId="5" fillId="13" borderId="13" xfId="1" applyNumberFormat="1" applyFont="1" applyFill="1" applyBorder="1" applyAlignment="1">
      <alignment horizontal="right" vertical="center"/>
    </xf>
    <xf numFmtId="172" fontId="5" fillId="13" borderId="14" xfId="1" applyNumberFormat="1" applyFont="1" applyFill="1" applyBorder="1" applyAlignment="1">
      <alignment horizontal="right" vertical="center"/>
    </xf>
    <xf numFmtId="0" fontId="5" fillId="13" borderId="14" xfId="1" applyFont="1" applyFill="1" applyBorder="1" applyAlignment="1">
      <alignment horizontal="right" vertical="center"/>
    </xf>
    <xf numFmtId="171" fontId="5" fillId="13" borderId="14" xfId="1" applyNumberFormat="1" applyFont="1" applyFill="1" applyBorder="1" applyAlignment="1">
      <alignment horizontal="right" vertical="center"/>
    </xf>
    <xf numFmtId="171" fontId="5" fillId="13" borderId="15" xfId="1" applyNumberFormat="1" applyFont="1" applyFill="1" applyBorder="1" applyAlignment="1">
      <alignment horizontal="right" vertical="center"/>
    </xf>
    <xf numFmtId="0" fontId="0" fillId="13" borderId="0" xfId="0" applyFill="1"/>
    <xf numFmtId="0" fontId="0" fillId="14" borderId="0" xfId="0" applyFill="1"/>
    <xf numFmtId="0" fontId="5" fillId="14" borderId="7" xfId="1" applyFont="1" applyFill="1" applyBorder="1" applyAlignment="1">
      <alignment horizontal="center" wrapText="1"/>
    </xf>
    <xf numFmtId="0" fontId="5" fillId="14" borderId="8" xfId="1" applyFont="1" applyFill="1" applyBorder="1" applyAlignment="1">
      <alignment horizontal="center" wrapText="1"/>
    </xf>
    <xf numFmtId="0" fontId="5" fillId="14" borderId="9" xfId="1" applyFont="1" applyFill="1" applyBorder="1" applyAlignment="1">
      <alignment horizontal="center" wrapText="1"/>
    </xf>
    <xf numFmtId="0" fontId="5" fillId="14" borderId="2" xfId="1" applyFont="1" applyFill="1" applyBorder="1" applyAlignment="1">
      <alignment horizontal="left" vertical="top" wrapText="1"/>
    </xf>
    <xf numFmtId="171" fontId="5" fillId="14" borderId="10" xfId="1" applyNumberFormat="1" applyFont="1" applyFill="1" applyBorder="1" applyAlignment="1">
      <alignment horizontal="right" vertical="center"/>
    </xf>
    <xf numFmtId="172" fontId="5" fillId="14" borderId="11" xfId="1" applyNumberFormat="1" applyFont="1" applyFill="1" applyBorder="1" applyAlignment="1">
      <alignment horizontal="right" vertical="center"/>
    </xf>
    <xf numFmtId="171" fontId="5" fillId="14" borderId="11" xfId="1" applyNumberFormat="1" applyFont="1" applyFill="1" applyBorder="1" applyAlignment="1">
      <alignment horizontal="right" vertical="center"/>
    </xf>
    <xf numFmtId="171" fontId="5" fillId="14" borderId="12" xfId="1" applyNumberFormat="1" applyFont="1" applyFill="1" applyBorder="1" applyAlignment="1">
      <alignment horizontal="right" vertical="center"/>
    </xf>
    <xf numFmtId="0" fontId="5" fillId="14" borderId="33" xfId="1" applyFont="1" applyFill="1" applyBorder="1" applyAlignment="1">
      <alignment horizontal="left" vertical="top" wrapText="1"/>
    </xf>
    <xf numFmtId="171" fontId="5" fillId="14" borderId="30" xfId="1" applyNumberFormat="1" applyFont="1" applyFill="1" applyBorder="1" applyAlignment="1">
      <alignment horizontal="right" vertical="center"/>
    </xf>
    <xf numFmtId="172" fontId="5" fillId="14" borderId="31" xfId="1" applyNumberFormat="1" applyFont="1" applyFill="1" applyBorder="1" applyAlignment="1">
      <alignment horizontal="right" vertical="center"/>
    </xf>
    <xf numFmtId="171" fontId="5" fillId="14" borderId="31" xfId="1" applyNumberFormat="1" applyFont="1" applyFill="1" applyBorder="1" applyAlignment="1">
      <alignment horizontal="right" vertical="center"/>
    </xf>
    <xf numFmtId="171" fontId="5" fillId="14" borderId="32" xfId="1" applyNumberFormat="1" applyFont="1" applyFill="1" applyBorder="1" applyAlignment="1">
      <alignment horizontal="right" vertical="center"/>
    </xf>
    <xf numFmtId="0" fontId="5" fillId="14" borderId="3" xfId="1" applyFont="1" applyFill="1" applyBorder="1" applyAlignment="1">
      <alignment horizontal="left" vertical="top" wrapText="1"/>
    </xf>
    <xf numFmtId="171" fontId="5" fillId="14" borderId="13" xfId="1" applyNumberFormat="1" applyFont="1" applyFill="1" applyBorder="1" applyAlignment="1">
      <alignment horizontal="right" vertical="center"/>
    </xf>
    <xf numFmtId="172" fontId="5" fillId="14" borderId="14" xfId="1" applyNumberFormat="1" applyFont="1" applyFill="1" applyBorder="1" applyAlignment="1">
      <alignment horizontal="right" vertical="center"/>
    </xf>
    <xf numFmtId="171" fontId="5" fillId="14" borderId="14" xfId="1" applyNumberFormat="1" applyFont="1" applyFill="1" applyBorder="1" applyAlignment="1">
      <alignment horizontal="right" vertical="center"/>
    </xf>
    <xf numFmtId="171" fontId="5" fillId="14" borderId="15" xfId="1" applyNumberFormat="1" applyFont="1" applyFill="1" applyBorder="1" applyAlignment="1">
      <alignment horizontal="right" vertical="center"/>
    </xf>
    <xf numFmtId="0" fontId="0" fillId="15" borderId="0" xfId="0" applyFill="1"/>
    <xf numFmtId="0" fontId="5" fillId="15" borderId="7" xfId="1" applyFont="1" applyFill="1" applyBorder="1" applyAlignment="1">
      <alignment horizontal="center" wrapText="1"/>
    </xf>
    <xf numFmtId="0" fontId="5" fillId="15" borderId="8" xfId="1" applyFont="1" applyFill="1" applyBorder="1" applyAlignment="1">
      <alignment horizontal="center" wrapText="1"/>
    </xf>
    <xf numFmtId="0" fontId="5" fillId="15" borderId="9" xfId="1" applyFont="1" applyFill="1" applyBorder="1" applyAlignment="1">
      <alignment horizontal="center" wrapText="1"/>
    </xf>
    <xf numFmtId="0" fontId="5" fillId="15" borderId="2" xfId="1" applyFont="1" applyFill="1" applyBorder="1" applyAlignment="1">
      <alignment horizontal="left" vertical="top" wrapText="1"/>
    </xf>
    <xf numFmtId="171" fontId="5" fillId="15" borderId="10" xfId="1" applyNumberFormat="1" applyFont="1" applyFill="1" applyBorder="1" applyAlignment="1">
      <alignment horizontal="right" vertical="center"/>
    </xf>
    <xf numFmtId="172" fontId="5" fillId="15" borderId="11" xfId="1" applyNumberFormat="1" applyFont="1" applyFill="1" applyBorder="1" applyAlignment="1">
      <alignment horizontal="right" vertical="center"/>
    </xf>
    <xf numFmtId="171" fontId="5" fillId="15" borderId="11" xfId="1" applyNumberFormat="1" applyFont="1" applyFill="1" applyBorder="1" applyAlignment="1">
      <alignment horizontal="right" vertical="center"/>
    </xf>
    <xf numFmtId="171" fontId="5" fillId="15" borderId="12" xfId="1" applyNumberFormat="1" applyFont="1" applyFill="1" applyBorder="1" applyAlignment="1">
      <alignment horizontal="right" vertical="center"/>
    </xf>
    <xf numFmtId="0" fontId="5" fillId="15" borderId="33" xfId="1" applyFont="1" applyFill="1" applyBorder="1" applyAlignment="1">
      <alignment horizontal="left" vertical="top" wrapText="1"/>
    </xf>
    <xf numFmtId="171" fontId="5" fillId="15" borderId="30" xfId="1" applyNumberFormat="1" applyFont="1" applyFill="1" applyBorder="1" applyAlignment="1">
      <alignment horizontal="right" vertical="center"/>
    </xf>
    <xf numFmtId="172" fontId="5" fillId="15" borderId="31" xfId="1" applyNumberFormat="1" applyFont="1" applyFill="1" applyBorder="1" applyAlignment="1">
      <alignment horizontal="right" vertical="center"/>
    </xf>
    <xf numFmtId="171" fontId="5" fillId="15" borderId="31" xfId="1" applyNumberFormat="1" applyFont="1" applyFill="1" applyBorder="1" applyAlignment="1">
      <alignment horizontal="right" vertical="center"/>
    </xf>
    <xf numFmtId="171" fontId="5" fillId="15" borderId="32" xfId="1" applyNumberFormat="1" applyFont="1" applyFill="1" applyBorder="1" applyAlignment="1">
      <alignment horizontal="right" vertical="center"/>
    </xf>
    <xf numFmtId="0" fontId="5" fillId="15" borderId="3" xfId="1" applyFont="1" applyFill="1" applyBorder="1" applyAlignment="1">
      <alignment horizontal="left" vertical="top" wrapText="1"/>
    </xf>
    <xf numFmtId="171" fontId="5" fillId="15" borderId="13" xfId="1" applyNumberFormat="1" applyFont="1" applyFill="1" applyBorder="1" applyAlignment="1">
      <alignment horizontal="right" vertical="center"/>
    </xf>
    <xf numFmtId="172" fontId="5" fillId="15" borderId="14" xfId="1" applyNumberFormat="1" applyFont="1" applyFill="1" applyBorder="1" applyAlignment="1">
      <alignment horizontal="right" vertical="center"/>
    </xf>
    <xf numFmtId="171" fontId="5" fillId="15" borderId="14" xfId="1" applyNumberFormat="1" applyFont="1" applyFill="1" applyBorder="1" applyAlignment="1">
      <alignment horizontal="right" vertical="center"/>
    </xf>
    <xf numFmtId="171" fontId="5" fillId="15" borderId="15" xfId="1" applyNumberFormat="1" applyFont="1" applyFill="1" applyBorder="1" applyAlignment="1">
      <alignment horizontal="right" vertical="center"/>
    </xf>
    <xf numFmtId="0" fontId="5" fillId="16" borderId="7" xfId="1" applyFont="1" applyFill="1" applyBorder="1" applyAlignment="1">
      <alignment horizontal="center" wrapText="1"/>
    </xf>
    <xf numFmtId="0" fontId="5" fillId="16" borderId="8" xfId="1" applyFont="1" applyFill="1" applyBorder="1" applyAlignment="1">
      <alignment horizontal="center" wrapText="1"/>
    </xf>
    <xf numFmtId="0" fontId="5" fillId="16" borderId="9" xfId="1" applyFont="1" applyFill="1" applyBorder="1" applyAlignment="1">
      <alignment horizontal="center" wrapText="1"/>
    </xf>
    <xf numFmtId="0" fontId="5" fillId="16" borderId="2" xfId="1" applyFont="1" applyFill="1" applyBorder="1" applyAlignment="1">
      <alignment horizontal="left" vertical="top" wrapText="1"/>
    </xf>
    <xf numFmtId="171" fontId="5" fillId="16" borderId="10" xfId="1" applyNumberFormat="1" applyFont="1" applyFill="1" applyBorder="1" applyAlignment="1">
      <alignment horizontal="right" vertical="center"/>
    </xf>
    <xf numFmtId="172" fontId="5" fillId="16" borderId="11" xfId="1" applyNumberFormat="1" applyFont="1" applyFill="1" applyBorder="1" applyAlignment="1">
      <alignment horizontal="right" vertical="center"/>
    </xf>
    <xf numFmtId="171" fontId="5" fillId="16" borderId="11" xfId="1" applyNumberFormat="1" applyFont="1" applyFill="1" applyBorder="1" applyAlignment="1">
      <alignment horizontal="right" vertical="center"/>
    </xf>
    <xf numFmtId="171" fontId="5" fillId="16" borderId="12" xfId="1" applyNumberFormat="1" applyFont="1" applyFill="1" applyBorder="1" applyAlignment="1">
      <alignment horizontal="right" vertical="center"/>
    </xf>
    <xf numFmtId="0" fontId="5" fillId="16" borderId="33" xfId="1" applyFont="1" applyFill="1" applyBorder="1" applyAlignment="1">
      <alignment horizontal="left" vertical="top" wrapText="1"/>
    </xf>
    <xf numFmtId="171" fontId="5" fillId="16" borderId="30" xfId="1" applyNumberFormat="1" applyFont="1" applyFill="1" applyBorder="1" applyAlignment="1">
      <alignment horizontal="right" vertical="center"/>
    </xf>
    <xf numFmtId="172" fontId="5" fillId="16" borderId="31" xfId="1" applyNumberFormat="1" applyFont="1" applyFill="1" applyBorder="1" applyAlignment="1">
      <alignment horizontal="right" vertical="center"/>
    </xf>
    <xf numFmtId="0" fontId="5" fillId="16" borderId="31" xfId="1" applyFont="1" applyFill="1" applyBorder="1" applyAlignment="1">
      <alignment horizontal="right" vertical="center"/>
    </xf>
    <xf numFmtId="171" fontId="5" fillId="16" borderId="31" xfId="1" applyNumberFormat="1" applyFont="1" applyFill="1" applyBorder="1" applyAlignment="1">
      <alignment horizontal="right" vertical="center"/>
    </xf>
    <xf numFmtId="171" fontId="5" fillId="16" borderId="32" xfId="1" applyNumberFormat="1" applyFont="1" applyFill="1" applyBorder="1" applyAlignment="1">
      <alignment horizontal="right" vertical="center"/>
    </xf>
    <xf numFmtId="0" fontId="5" fillId="16" borderId="3" xfId="1" applyFont="1" applyFill="1" applyBorder="1" applyAlignment="1">
      <alignment horizontal="left" vertical="top" wrapText="1"/>
    </xf>
    <xf numFmtId="171" fontId="5" fillId="16" borderId="13" xfId="1" applyNumberFormat="1" applyFont="1" applyFill="1" applyBorder="1" applyAlignment="1">
      <alignment horizontal="right" vertical="center"/>
    </xf>
    <xf numFmtId="172" fontId="5" fillId="16" borderId="14" xfId="1" applyNumberFormat="1" applyFont="1" applyFill="1" applyBorder="1" applyAlignment="1">
      <alignment horizontal="right" vertical="center"/>
    </xf>
    <xf numFmtId="171" fontId="5" fillId="16" borderId="14" xfId="1" applyNumberFormat="1" applyFont="1" applyFill="1" applyBorder="1" applyAlignment="1">
      <alignment horizontal="right" vertical="center"/>
    </xf>
    <xf numFmtId="171" fontId="5" fillId="16" borderId="15" xfId="1" applyNumberFormat="1" applyFont="1" applyFill="1" applyBorder="1" applyAlignment="1">
      <alignment horizontal="right" vertical="center"/>
    </xf>
    <xf numFmtId="0" fontId="0" fillId="16" borderId="0" xfId="0" applyFill="1"/>
    <xf numFmtId="167" fontId="0" fillId="6" borderId="0" xfId="0" applyNumberFormat="1" applyFill="1"/>
    <xf numFmtId="0" fontId="2" fillId="12" borderId="0" xfId="2" applyFill="1"/>
    <xf numFmtId="0" fontId="2" fillId="15" borderId="0" xfId="1" applyFill="1"/>
    <xf numFmtId="167" fontId="0" fillId="7" borderId="0" xfId="0" applyNumberFormat="1" applyFill="1"/>
    <xf numFmtId="1" fontId="0" fillId="0" borderId="0" xfId="0" applyNumberFormat="1"/>
    <xf numFmtId="168" fontId="0" fillId="6" borderId="0" xfId="0" applyNumberFormat="1" applyFill="1"/>
    <xf numFmtId="167" fontId="0" fillId="8" borderId="0" xfId="0" applyNumberFormat="1" applyFill="1"/>
    <xf numFmtId="0" fontId="2" fillId="0" borderId="0" xfId="3"/>
    <xf numFmtId="0" fontId="5" fillId="0" borderId="27" xfId="3" applyFont="1" applyBorder="1" applyAlignment="1">
      <alignment horizontal="center" wrapText="1"/>
    </xf>
    <xf numFmtId="0" fontId="5" fillId="0" borderId="28" xfId="3" applyFont="1" applyBorder="1" applyAlignment="1">
      <alignment horizontal="center" wrapText="1"/>
    </xf>
    <xf numFmtId="0" fontId="5" fillId="0" borderId="29" xfId="3" applyFont="1" applyBorder="1" applyAlignment="1">
      <alignment horizontal="center" wrapText="1"/>
    </xf>
    <xf numFmtId="0" fontId="5" fillId="0" borderId="2" xfId="3" applyFont="1" applyBorder="1" applyAlignment="1">
      <alignment horizontal="left" vertical="top" wrapText="1"/>
    </xf>
    <xf numFmtId="0" fontId="5" fillId="0" borderId="10" xfId="3" applyFont="1" applyBorder="1" applyAlignment="1">
      <alignment horizontal="right" vertical="center"/>
    </xf>
    <xf numFmtId="0" fontId="5" fillId="0" borderId="11" xfId="3" applyFont="1" applyBorder="1" applyAlignment="1">
      <alignment horizontal="right" vertical="center"/>
    </xf>
    <xf numFmtId="0" fontId="5" fillId="0" borderId="12" xfId="3" applyFont="1" applyBorder="1" applyAlignment="1">
      <alignment horizontal="right" vertical="center"/>
    </xf>
    <xf numFmtId="0" fontId="5" fillId="0" borderId="3" xfId="3" applyFont="1" applyBorder="1" applyAlignment="1">
      <alignment horizontal="left" vertical="top" wrapText="1"/>
    </xf>
    <xf numFmtId="171" fontId="5" fillId="0" borderId="13" xfId="3" applyNumberFormat="1" applyFont="1" applyBorder="1" applyAlignment="1">
      <alignment horizontal="right" vertical="center"/>
    </xf>
    <xf numFmtId="171" fontId="5" fillId="0" borderId="14" xfId="3" applyNumberFormat="1" applyFont="1" applyBorder="1" applyAlignment="1">
      <alignment horizontal="right" vertical="center"/>
    </xf>
    <xf numFmtId="171" fontId="5" fillId="0" borderId="15" xfId="3" applyNumberFormat="1" applyFont="1" applyBorder="1" applyAlignment="1">
      <alignment horizontal="right" vertical="center"/>
    </xf>
    <xf numFmtId="45" fontId="0" fillId="0" borderId="0" xfId="0" applyNumberFormat="1"/>
    <xf numFmtId="0" fontId="7" fillId="0" borderId="0" xfId="4"/>
    <xf numFmtId="0" fontId="8" fillId="0" borderId="27" xfId="4" applyFont="1" applyBorder="1" applyAlignment="1">
      <alignment horizontal="center" wrapText="1"/>
    </xf>
    <xf numFmtId="0" fontId="8" fillId="0" borderId="28" xfId="4" applyFont="1" applyBorder="1" applyAlignment="1">
      <alignment horizontal="center" wrapText="1"/>
    </xf>
    <xf numFmtId="0" fontId="8" fillId="0" borderId="29" xfId="4" applyFont="1" applyBorder="1" applyAlignment="1">
      <alignment horizontal="center" wrapText="1"/>
    </xf>
    <xf numFmtId="0" fontId="8" fillId="0" borderId="2" xfId="4" applyFont="1" applyBorder="1" applyAlignment="1">
      <alignment horizontal="left" vertical="top" wrapText="1"/>
    </xf>
    <xf numFmtId="0" fontId="8" fillId="0" borderId="10" xfId="4" applyFont="1" applyBorder="1" applyAlignment="1">
      <alignment horizontal="right" vertical="center"/>
    </xf>
    <xf numFmtId="0" fontId="8" fillId="0" borderId="11" xfId="4" applyFont="1" applyBorder="1" applyAlignment="1">
      <alignment horizontal="right" vertical="center"/>
    </xf>
    <xf numFmtId="0" fontId="8" fillId="0" borderId="12" xfId="4" applyFont="1" applyBorder="1" applyAlignment="1">
      <alignment horizontal="right" vertical="center"/>
    </xf>
    <xf numFmtId="0" fontId="8" fillId="0" borderId="3" xfId="4" applyFont="1" applyBorder="1" applyAlignment="1">
      <alignment horizontal="left" vertical="top" wrapText="1"/>
    </xf>
    <xf numFmtId="171" fontId="8" fillId="0" borderId="13" xfId="4" applyNumberFormat="1" applyFont="1" applyBorder="1" applyAlignment="1">
      <alignment horizontal="right" vertical="center"/>
    </xf>
    <xf numFmtId="171" fontId="8" fillId="0" borderId="14" xfId="4" applyNumberFormat="1" applyFont="1" applyBorder="1" applyAlignment="1">
      <alignment horizontal="right" vertical="center"/>
    </xf>
    <xf numFmtId="171" fontId="8" fillId="0" borderId="15" xfId="4" applyNumberFormat="1" applyFont="1" applyBorder="1" applyAlignment="1">
      <alignment horizontal="right" vertical="center"/>
    </xf>
    <xf numFmtId="0" fontId="7" fillId="0" borderId="0" xfId="5"/>
    <xf numFmtId="0" fontId="8" fillId="0" borderId="27" xfId="5" applyFont="1" applyBorder="1" applyAlignment="1">
      <alignment horizontal="center" wrapText="1"/>
    </xf>
    <xf numFmtId="0" fontId="8" fillId="0" borderId="28" xfId="5" applyFont="1" applyBorder="1" applyAlignment="1">
      <alignment horizontal="center" wrapText="1"/>
    </xf>
    <xf numFmtId="0" fontId="8" fillId="0" borderId="29" xfId="5" applyFont="1" applyBorder="1" applyAlignment="1">
      <alignment horizontal="center" wrapText="1"/>
    </xf>
    <xf numFmtId="0" fontId="8" fillId="0" borderId="2" xfId="5" applyFont="1" applyBorder="1" applyAlignment="1">
      <alignment horizontal="left" vertical="top" wrapText="1"/>
    </xf>
    <xf numFmtId="0" fontId="8" fillId="0" borderId="10" xfId="5" applyFont="1" applyBorder="1" applyAlignment="1">
      <alignment horizontal="right" vertical="center"/>
    </xf>
    <xf numFmtId="0" fontId="8" fillId="0" borderId="11" xfId="5" applyFont="1" applyBorder="1" applyAlignment="1">
      <alignment horizontal="right" vertical="center"/>
    </xf>
    <xf numFmtId="0" fontId="8" fillId="0" borderId="12" xfId="5" applyFont="1" applyBorder="1" applyAlignment="1">
      <alignment horizontal="right" vertical="center"/>
    </xf>
    <xf numFmtId="0" fontId="8" fillId="0" borderId="3" xfId="5" applyFont="1" applyBorder="1" applyAlignment="1">
      <alignment horizontal="left" vertical="top" wrapText="1"/>
    </xf>
    <xf numFmtId="171" fontId="8" fillId="0" borderId="13" xfId="5" applyNumberFormat="1" applyFont="1" applyBorder="1" applyAlignment="1">
      <alignment horizontal="right" vertical="center"/>
    </xf>
    <xf numFmtId="171" fontId="8" fillId="0" borderId="14" xfId="5" applyNumberFormat="1" applyFont="1" applyBorder="1" applyAlignment="1">
      <alignment horizontal="right" vertical="center"/>
    </xf>
    <xf numFmtId="171" fontId="8" fillId="0" borderId="15" xfId="5" applyNumberFormat="1" applyFont="1" applyBorder="1" applyAlignment="1">
      <alignment horizontal="right" vertical="center"/>
    </xf>
    <xf numFmtId="0" fontId="8" fillId="0" borderId="20" xfId="4" applyFont="1" applyBorder="1" applyAlignment="1">
      <alignment horizontal="center" wrapText="1"/>
    </xf>
    <xf numFmtId="0" fontId="8" fillId="0" borderId="8" xfId="4" applyFont="1" applyBorder="1" applyAlignment="1">
      <alignment horizontal="center" wrapText="1"/>
    </xf>
    <xf numFmtId="0" fontId="8" fillId="0" borderId="16" xfId="4" applyFont="1" applyBorder="1" applyAlignment="1">
      <alignment horizontal="left" vertical="top" wrapText="1"/>
    </xf>
    <xf numFmtId="0" fontId="8" fillId="0" borderId="17" xfId="4" applyFont="1" applyBorder="1" applyAlignment="1">
      <alignment horizontal="left" vertical="top" wrapText="1"/>
    </xf>
    <xf numFmtId="175" fontId="8" fillId="0" borderId="10" xfId="4" applyNumberFormat="1" applyFont="1" applyBorder="1" applyAlignment="1">
      <alignment horizontal="right" vertical="center"/>
    </xf>
    <xf numFmtId="175" fontId="8" fillId="0" borderId="11" xfId="4" applyNumberFormat="1" applyFont="1" applyBorder="1" applyAlignment="1">
      <alignment horizontal="right" vertical="center"/>
    </xf>
    <xf numFmtId="174" fontId="8" fillId="0" borderId="11" xfId="4" applyNumberFormat="1" applyFont="1" applyBorder="1" applyAlignment="1">
      <alignment horizontal="right" vertical="center"/>
    </xf>
    <xf numFmtId="172" fontId="8" fillId="0" borderId="11" xfId="4" applyNumberFormat="1" applyFont="1" applyBorder="1" applyAlignment="1">
      <alignment horizontal="right" vertical="center"/>
    </xf>
    <xf numFmtId="171" fontId="8" fillId="0" borderId="12" xfId="4" applyNumberFormat="1" applyFont="1" applyBorder="1" applyAlignment="1">
      <alignment horizontal="right" vertical="center"/>
    </xf>
    <xf numFmtId="0" fontId="8" fillId="0" borderId="18" xfId="4" applyFont="1" applyBorder="1" applyAlignment="1">
      <alignment horizontal="left" vertical="top" wrapText="1"/>
    </xf>
    <xf numFmtId="0" fontId="8" fillId="0" borderId="19" xfId="4" applyFont="1" applyBorder="1" applyAlignment="1">
      <alignment horizontal="left" vertical="top" wrapText="1"/>
    </xf>
    <xf numFmtId="175" fontId="8" fillId="0" borderId="30" xfId="4" applyNumberFormat="1" applyFont="1" applyBorder="1" applyAlignment="1">
      <alignment horizontal="right" vertical="center"/>
    </xf>
    <xf numFmtId="175" fontId="8" fillId="0" borderId="31" xfId="4" applyNumberFormat="1" applyFont="1" applyBorder="1" applyAlignment="1">
      <alignment horizontal="right" vertical="center"/>
    </xf>
    <xf numFmtId="173" fontId="8" fillId="0" borderId="31" xfId="4" applyNumberFormat="1" applyFont="1" applyBorder="1" applyAlignment="1">
      <alignment horizontal="right" vertical="center"/>
    </xf>
    <xf numFmtId="174" fontId="8" fillId="0" borderId="31" xfId="4" applyNumberFormat="1" applyFont="1" applyBorder="1" applyAlignment="1">
      <alignment horizontal="right" vertical="center"/>
    </xf>
    <xf numFmtId="172" fontId="8" fillId="0" borderId="31" xfId="4" applyNumberFormat="1" applyFont="1" applyBorder="1" applyAlignment="1">
      <alignment horizontal="right" vertical="center"/>
    </xf>
    <xf numFmtId="171" fontId="8" fillId="0" borderId="32" xfId="4" applyNumberFormat="1" applyFont="1" applyBorder="1" applyAlignment="1">
      <alignment horizontal="right" vertical="center"/>
    </xf>
    <xf numFmtId="0" fontId="8" fillId="0" borderId="23" xfId="4" applyFont="1" applyBorder="1" applyAlignment="1">
      <alignment horizontal="left" vertical="top" wrapText="1"/>
    </xf>
    <xf numFmtId="0" fontId="8" fillId="0" borderId="24" xfId="4" applyFont="1" applyBorder="1" applyAlignment="1">
      <alignment horizontal="left" vertical="top" wrapText="1"/>
    </xf>
    <xf numFmtId="173" fontId="8" fillId="0" borderId="13" xfId="4" applyNumberFormat="1" applyFont="1" applyBorder="1" applyAlignment="1">
      <alignment horizontal="right" vertical="center"/>
    </xf>
    <xf numFmtId="175" fontId="8" fillId="0" borderId="14" xfId="4" applyNumberFormat="1" applyFont="1" applyBorder="1" applyAlignment="1">
      <alignment horizontal="right" vertical="center"/>
    </xf>
    <xf numFmtId="172" fontId="8" fillId="0" borderId="14" xfId="4" applyNumberFormat="1" applyFont="1" applyBorder="1" applyAlignment="1">
      <alignment horizontal="right" vertical="center"/>
    </xf>
    <xf numFmtId="173" fontId="8" fillId="0" borderId="10" xfId="4" applyNumberFormat="1" applyFont="1" applyBorder="1" applyAlignment="1">
      <alignment horizontal="right" vertical="center"/>
    </xf>
    <xf numFmtId="173" fontId="8" fillId="0" borderId="11" xfId="4" applyNumberFormat="1" applyFont="1" applyBorder="1" applyAlignment="1">
      <alignment horizontal="right" vertical="center"/>
    </xf>
    <xf numFmtId="171" fontId="8" fillId="0" borderId="11" xfId="4" applyNumberFormat="1" applyFont="1" applyBorder="1" applyAlignment="1">
      <alignment horizontal="right" vertical="center"/>
    </xf>
    <xf numFmtId="175" fontId="8" fillId="0" borderId="13" xfId="4" applyNumberFormat="1" applyFont="1" applyBorder="1" applyAlignment="1">
      <alignment horizontal="right" vertical="center"/>
    </xf>
    <xf numFmtId="174" fontId="8" fillId="0" borderId="14" xfId="4" applyNumberFormat="1" applyFont="1" applyBorder="1" applyAlignment="1">
      <alignment horizontal="right" vertical="center"/>
    </xf>
    <xf numFmtId="0" fontId="8" fillId="0" borderId="25" xfId="4" applyFont="1" applyBorder="1" applyAlignment="1">
      <alignment horizontal="left" vertical="top" wrapText="1"/>
    </xf>
    <xf numFmtId="0" fontId="8" fillId="0" borderId="26" xfId="4" applyFont="1" applyBorder="1" applyAlignment="1">
      <alignment horizontal="left" vertical="top" wrapText="1"/>
    </xf>
    <xf numFmtId="175" fontId="8" fillId="0" borderId="27" xfId="4" applyNumberFormat="1" applyFont="1" applyBorder="1" applyAlignment="1">
      <alignment horizontal="right" vertical="center"/>
    </xf>
    <xf numFmtId="175" fontId="8" fillId="0" borderId="28" xfId="4" applyNumberFormat="1" applyFont="1" applyBorder="1" applyAlignment="1">
      <alignment horizontal="right" vertical="center"/>
    </xf>
    <xf numFmtId="173" fontId="8" fillId="0" borderId="28" xfId="4" applyNumberFormat="1" applyFont="1" applyBorder="1" applyAlignment="1">
      <alignment horizontal="right" vertical="center"/>
    </xf>
    <xf numFmtId="174" fontId="8" fillId="0" borderId="28" xfId="4" applyNumberFormat="1" applyFont="1" applyBorder="1" applyAlignment="1">
      <alignment horizontal="right" vertical="center"/>
    </xf>
    <xf numFmtId="172" fontId="8" fillId="0" borderId="28" xfId="4" applyNumberFormat="1" applyFont="1" applyBorder="1" applyAlignment="1">
      <alignment horizontal="right" vertical="center"/>
    </xf>
    <xf numFmtId="171" fontId="8" fillId="0" borderId="29" xfId="4" applyNumberFormat="1" applyFont="1" applyBorder="1" applyAlignment="1">
      <alignment horizontal="right" vertical="center"/>
    </xf>
    <xf numFmtId="176" fontId="0" fillId="6" borderId="0" xfId="0" applyNumberFormat="1" applyFill="1"/>
    <xf numFmtId="176" fontId="0" fillId="7" borderId="0" xfId="0" applyNumberFormat="1" applyFill="1"/>
    <xf numFmtId="0" fontId="0" fillId="7" borderId="0" xfId="0" applyFill="1"/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5" fillId="0" borderId="1" xfId="3" applyFont="1" applyBorder="1" applyAlignment="1">
      <alignment horizontal="left" wrapText="1"/>
    </xf>
    <xf numFmtId="0" fontId="5" fillId="0" borderId="0" xfId="3" applyFont="1" applyAlignment="1">
      <alignment horizontal="left" vertical="top" wrapText="1"/>
    </xf>
    <xf numFmtId="0" fontId="4" fillId="0" borderId="0" xfId="5" applyFont="1" applyAlignment="1">
      <alignment horizontal="center" vertical="center" wrapText="1"/>
    </xf>
    <xf numFmtId="0" fontId="8" fillId="0" borderId="1" xfId="5" applyFont="1" applyBorder="1" applyAlignment="1">
      <alignment horizontal="left" wrapText="1"/>
    </xf>
    <xf numFmtId="0" fontId="8" fillId="0" borderId="0" xfId="5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13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4" fillId="11" borderId="0" xfId="1" applyFont="1" applyFill="1" applyAlignment="1">
      <alignment horizontal="center" vertical="center" wrapText="1"/>
    </xf>
    <xf numFmtId="0" fontId="5" fillId="11" borderId="2" xfId="1" applyFont="1" applyFill="1" applyBorder="1" applyAlignment="1">
      <alignment horizontal="left" wrapText="1"/>
    </xf>
    <xf numFmtId="0" fontId="5" fillId="11" borderId="3" xfId="1" applyFont="1" applyFill="1" applyBorder="1" applyAlignment="1">
      <alignment horizontal="left" wrapText="1"/>
    </xf>
    <xf numFmtId="0" fontId="5" fillId="11" borderId="4" xfId="1" applyFont="1" applyFill="1" applyBorder="1" applyAlignment="1">
      <alignment horizontal="center" wrapText="1"/>
    </xf>
    <xf numFmtId="0" fontId="5" fillId="11" borderId="5" xfId="1" applyFont="1" applyFill="1" applyBorder="1" applyAlignment="1">
      <alignment horizontal="center" wrapText="1"/>
    </xf>
    <xf numFmtId="0" fontId="5" fillId="11" borderId="6" xfId="1" applyFont="1" applyFill="1" applyBorder="1" applyAlignment="1">
      <alignment horizontal="center" wrapText="1"/>
    </xf>
    <xf numFmtId="0" fontId="5" fillId="11" borderId="0" xfId="1" applyFont="1" applyFill="1" applyAlignment="1">
      <alignment horizontal="left" vertical="top" wrapText="1"/>
    </xf>
    <xf numFmtId="0" fontId="5" fillId="12" borderId="0" xfId="1" applyFont="1" applyFill="1" applyAlignment="1">
      <alignment horizontal="left" vertical="top" wrapText="1"/>
    </xf>
    <xf numFmtId="0" fontId="4" fillId="10" borderId="0" xfId="1" applyFont="1" applyFill="1" applyAlignment="1">
      <alignment horizontal="center" vertical="center" wrapText="1"/>
    </xf>
    <xf numFmtId="0" fontId="5" fillId="10" borderId="2" xfId="1" applyFont="1" applyFill="1" applyBorder="1" applyAlignment="1">
      <alignment horizontal="left" wrapText="1"/>
    </xf>
    <xf numFmtId="0" fontId="5" fillId="10" borderId="3" xfId="1" applyFont="1" applyFill="1" applyBorder="1" applyAlignment="1">
      <alignment horizontal="left" wrapText="1"/>
    </xf>
    <xf numFmtId="0" fontId="5" fillId="10" borderId="4" xfId="1" applyFont="1" applyFill="1" applyBorder="1" applyAlignment="1">
      <alignment horizontal="center" wrapText="1"/>
    </xf>
    <xf numFmtId="0" fontId="5" fillId="10" borderId="5" xfId="1" applyFont="1" applyFill="1" applyBorder="1" applyAlignment="1">
      <alignment horizontal="center" wrapText="1"/>
    </xf>
    <xf numFmtId="0" fontId="5" fillId="10" borderId="6" xfId="1" applyFont="1" applyFill="1" applyBorder="1" applyAlignment="1">
      <alignment horizontal="center" wrapText="1"/>
    </xf>
    <xf numFmtId="0" fontId="5" fillId="10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 wrapText="1"/>
    </xf>
    <xf numFmtId="0" fontId="5" fillId="2" borderId="2" xfId="1" applyFont="1" applyFill="1" applyBorder="1" applyAlignment="1">
      <alignment horizontal="left" wrapText="1"/>
    </xf>
    <xf numFmtId="0" fontId="5" fillId="2" borderId="3" xfId="1" applyFont="1" applyFill="1" applyBorder="1" applyAlignment="1">
      <alignment horizontal="left" wrapText="1"/>
    </xf>
    <xf numFmtId="0" fontId="5" fillId="2" borderId="4" xfId="1" applyFont="1" applyFill="1" applyBorder="1" applyAlignment="1">
      <alignment horizontal="center" wrapText="1"/>
    </xf>
    <xf numFmtId="0" fontId="5" fillId="2" borderId="5" xfId="1" applyFont="1" applyFill="1" applyBorder="1" applyAlignment="1">
      <alignment horizontal="center" wrapText="1"/>
    </xf>
    <xf numFmtId="0" fontId="5" fillId="2" borderId="6" xfId="1" applyFont="1" applyFill="1" applyBorder="1" applyAlignment="1">
      <alignment horizontal="center" wrapText="1"/>
    </xf>
    <xf numFmtId="0" fontId="5" fillId="12" borderId="2" xfId="1" applyFont="1" applyFill="1" applyBorder="1" applyAlignment="1">
      <alignment horizontal="left" wrapText="1"/>
    </xf>
    <xf numFmtId="0" fontId="5" fillId="12" borderId="3" xfId="1" applyFont="1" applyFill="1" applyBorder="1" applyAlignment="1">
      <alignment horizontal="left" wrapText="1"/>
    </xf>
    <xf numFmtId="0" fontId="8" fillId="0" borderId="5" xfId="4" applyFont="1" applyBorder="1" applyAlignment="1">
      <alignment horizontal="center" wrapText="1"/>
    </xf>
    <xf numFmtId="0" fontId="8" fillId="0" borderId="21" xfId="4" applyFont="1" applyBorder="1" applyAlignment="1">
      <alignment horizontal="center" wrapText="1"/>
    </xf>
    <xf numFmtId="0" fontId="8" fillId="0" borderId="8" xfId="4" applyFont="1" applyBorder="1" applyAlignment="1">
      <alignment horizontal="center" wrapText="1"/>
    </xf>
    <xf numFmtId="0" fontId="5" fillId="16" borderId="0" xfId="1" applyFont="1" applyFill="1" applyAlignment="1">
      <alignment horizontal="left" vertical="top" wrapText="1"/>
    </xf>
    <xf numFmtId="0" fontId="4" fillId="15" borderId="0" xfId="1" applyFont="1" applyFill="1" applyAlignment="1">
      <alignment horizontal="center" vertical="center" wrapText="1"/>
    </xf>
    <xf numFmtId="0" fontId="5" fillId="15" borderId="2" xfId="1" applyFont="1" applyFill="1" applyBorder="1" applyAlignment="1">
      <alignment horizontal="left" wrapText="1"/>
    </xf>
    <xf numFmtId="0" fontId="5" fillId="15" borderId="3" xfId="1" applyFont="1" applyFill="1" applyBorder="1" applyAlignment="1">
      <alignment horizontal="left" wrapText="1"/>
    </xf>
    <xf numFmtId="0" fontId="5" fillId="15" borderId="4" xfId="1" applyFont="1" applyFill="1" applyBorder="1" applyAlignment="1">
      <alignment horizontal="center" wrapText="1"/>
    </xf>
    <xf numFmtId="0" fontId="5" fillId="15" borderId="5" xfId="1" applyFont="1" applyFill="1" applyBorder="1" applyAlignment="1">
      <alignment horizontal="center" wrapText="1"/>
    </xf>
    <xf numFmtId="0" fontId="5" fillId="15" borderId="6" xfId="1" applyFont="1" applyFill="1" applyBorder="1" applyAlignment="1">
      <alignment horizontal="center" wrapText="1"/>
    </xf>
    <xf numFmtId="0" fontId="5" fillId="15" borderId="0" xfId="1" applyFont="1" applyFill="1" applyAlignment="1">
      <alignment horizontal="left" vertical="top" wrapText="1"/>
    </xf>
    <xf numFmtId="0" fontId="4" fillId="16" borderId="0" xfId="1" applyFont="1" applyFill="1" applyAlignment="1">
      <alignment horizontal="center" vertical="center" wrapText="1"/>
    </xf>
    <xf numFmtId="0" fontId="5" fillId="16" borderId="2" xfId="1" applyFont="1" applyFill="1" applyBorder="1" applyAlignment="1">
      <alignment horizontal="left" wrapText="1"/>
    </xf>
    <xf numFmtId="0" fontId="5" fillId="16" borderId="3" xfId="1" applyFont="1" applyFill="1" applyBorder="1" applyAlignment="1">
      <alignment horizontal="left" wrapText="1"/>
    </xf>
    <xf numFmtId="0" fontId="5" fillId="16" borderId="4" xfId="1" applyFont="1" applyFill="1" applyBorder="1" applyAlignment="1">
      <alignment horizontal="center" wrapText="1"/>
    </xf>
    <xf numFmtId="0" fontId="5" fillId="16" borderId="5" xfId="1" applyFont="1" applyFill="1" applyBorder="1" applyAlignment="1">
      <alignment horizontal="center" wrapText="1"/>
    </xf>
    <xf numFmtId="0" fontId="5" fillId="16" borderId="6" xfId="1" applyFont="1" applyFill="1" applyBorder="1" applyAlignment="1">
      <alignment horizontal="center" wrapText="1"/>
    </xf>
    <xf numFmtId="0" fontId="4" fillId="0" borderId="0" xfId="4" applyFont="1" applyAlignment="1">
      <alignment horizontal="center" vertical="center" wrapText="1"/>
    </xf>
    <xf numFmtId="0" fontId="8" fillId="0" borderId="1" xfId="4" applyFont="1" applyBorder="1" applyAlignment="1">
      <alignment horizontal="left" wrapText="1"/>
    </xf>
    <xf numFmtId="0" fontId="8" fillId="0" borderId="0" xfId="4" applyFont="1" applyAlignment="1">
      <alignment horizontal="left" vertical="top" wrapText="1"/>
    </xf>
    <xf numFmtId="0" fontId="4" fillId="13" borderId="0" xfId="1" applyFont="1" applyFill="1" applyAlignment="1">
      <alignment horizontal="center" vertical="center" wrapText="1"/>
    </xf>
    <xf numFmtId="0" fontId="4" fillId="12" borderId="0" xfId="1" applyFont="1" applyFill="1" applyAlignment="1">
      <alignment horizontal="center" vertical="center" wrapText="1"/>
    </xf>
    <xf numFmtId="0" fontId="5" fillId="9" borderId="0" xfId="1" applyFont="1" applyFill="1" applyAlignment="1">
      <alignment horizontal="left" vertical="top" wrapText="1"/>
    </xf>
    <xf numFmtId="0" fontId="5" fillId="13" borderId="2" xfId="1" applyFont="1" applyFill="1" applyBorder="1" applyAlignment="1">
      <alignment horizontal="left" wrapText="1"/>
    </xf>
    <xf numFmtId="0" fontId="5" fillId="13" borderId="3" xfId="1" applyFont="1" applyFill="1" applyBorder="1" applyAlignment="1">
      <alignment horizontal="left" wrapText="1"/>
    </xf>
    <xf numFmtId="0" fontId="5" fillId="13" borderId="4" xfId="1" applyFont="1" applyFill="1" applyBorder="1" applyAlignment="1">
      <alignment horizontal="center" wrapText="1"/>
    </xf>
    <xf numFmtId="0" fontId="5" fillId="13" borderId="5" xfId="1" applyFont="1" applyFill="1" applyBorder="1" applyAlignment="1">
      <alignment horizontal="center" wrapText="1"/>
    </xf>
    <xf numFmtId="0" fontId="5" fillId="13" borderId="6" xfId="1" applyFont="1" applyFill="1" applyBorder="1" applyAlignment="1">
      <alignment horizontal="center" wrapText="1"/>
    </xf>
    <xf numFmtId="0" fontId="8" fillId="0" borderId="20" xfId="4" applyFont="1" applyBorder="1" applyAlignment="1">
      <alignment horizontal="center" wrapText="1"/>
    </xf>
    <xf numFmtId="0" fontId="8" fillId="0" borderId="7" xfId="4" applyFont="1" applyBorder="1" applyAlignment="1">
      <alignment horizontal="center" wrapText="1"/>
    </xf>
    <xf numFmtId="0" fontId="5" fillId="12" borderId="4" xfId="1" applyFont="1" applyFill="1" applyBorder="1" applyAlignment="1">
      <alignment horizontal="center" wrapText="1"/>
    </xf>
    <xf numFmtId="0" fontId="5" fillId="12" borderId="5" xfId="1" applyFont="1" applyFill="1" applyBorder="1" applyAlignment="1">
      <alignment horizontal="center" wrapText="1"/>
    </xf>
    <xf numFmtId="0" fontId="5" fillId="12" borderId="6" xfId="1" applyFont="1" applyFill="1" applyBorder="1" applyAlignment="1">
      <alignment horizontal="center" wrapText="1"/>
    </xf>
    <xf numFmtId="0" fontId="4" fillId="9" borderId="0" xfId="1" applyFont="1" applyFill="1" applyAlignment="1">
      <alignment horizontal="center" vertical="center" wrapText="1"/>
    </xf>
    <xf numFmtId="0" fontId="5" fillId="9" borderId="2" xfId="1" applyFont="1" applyFill="1" applyBorder="1" applyAlignment="1">
      <alignment horizontal="left" wrapText="1"/>
    </xf>
    <xf numFmtId="0" fontId="5" fillId="9" borderId="3" xfId="1" applyFont="1" applyFill="1" applyBorder="1" applyAlignment="1">
      <alignment horizontal="left" wrapText="1"/>
    </xf>
    <xf numFmtId="0" fontId="5" fillId="9" borderId="4" xfId="1" applyFont="1" applyFill="1" applyBorder="1" applyAlignment="1">
      <alignment horizontal="center" wrapText="1"/>
    </xf>
    <xf numFmtId="0" fontId="5" fillId="9" borderId="5" xfId="1" applyFont="1" applyFill="1" applyBorder="1" applyAlignment="1">
      <alignment horizontal="center" wrapText="1"/>
    </xf>
    <xf numFmtId="0" fontId="5" fillId="9" borderId="6" xfId="1" applyFont="1" applyFill="1" applyBorder="1" applyAlignment="1">
      <alignment horizontal="center" wrapText="1"/>
    </xf>
    <xf numFmtId="0" fontId="8" fillId="0" borderId="16" xfId="4" applyFont="1" applyBorder="1" applyAlignment="1">
      <alignment horizontal="left" wrapText="1"/>
    </xf>
    <xf numFmtId="0" fontId="8" fillId="0" borderId="17" xfId="4" applyFont="1" applyBorder="1" applyAlignment="1">
      <alignment horizontal="left" wrapText="1"/>
    </xf>
    <xf numFmtId="0" fontId="8" fillId="0" borderId="18" xfId="4" applyFont="1" applyBorder="1" applyAlignment="1">
      <alignment horizontal="left" wrapText="1"/>
    </xf>
    <xf numFmtId="0" fontId="8" fillId="0" borderId="19" xfId="4" applyFont="1" applyBorder="1" applyAlignment="1">
      <alignment horizontal="left" wrapText="1"/>
    </xf>
    <xf numFmtId="0" fontId="8" fillId="0" borderId="23" xfId="4" applyFont="1" applyBorder="1" applyAlignment="1">
      <alignment horizontal="left" wrapText="1"/>
    </xf>
    <xf numFmtId="0" fontId="8" fillId="0" borderId="24" xfId="4" applyFont="1" applyBorder="1" applyAlignment="1">
      <alignment horizontal="left" wrapText="1"/>
    </xf>
    <xf numFmtId="0" fontId="8" fillId="0" borderId="4" xfId="4" applyFont="1" applyBorder="1" applyAlignment="1">
      <alignment horizontal="center" wrapText="1"/>
    </xf>
    <xf numFmtId="0" fontId="4" fillId="14" borderId="0" xfId="1" applyFont="1" applyFill="1" applyAlignment="1">
      <alignment horizontal="center" vertical="center" wrapText="1"/>
    </xf>
    <xf numFmtId="0" fontId="5" fillId="14" borderId="2" xfId="1" applyFont="1" applyFill="1" applyBorder="1" applyAlignment="1">
      <alignment horizontal="left" wrapText="1"/>
    </xf>
    <xf numFmtId="0" fontId="5" fillId="14" borderId="3" xfId="1" applyFont="1" applyFill="1" applyBorder="1" applyAlignment="1">
      <alignment horizontal="left" wrapText="1"/>
    </xf>
    <xf numFmtId="0" fontId="5" fillId="14" borderId="4" xfId="1" applyFont="1" applyFill="1" applyBorder="1" applyAlignment="1">
      <alignment horizontal="center" wrapText="1"/>
    </xf>
    <xf numFmtId="0" fontId="5" fillId="14" borderId="5" xfId="1" applyFont="1" applyFill="1" applyBorder="1" applyAlignment="1">
      <alignment horizontal="center" wrapText="1"/>
    </xf>
    <xf numFmtId="0" fontId="5" fillId="14" borderId="6" xfId="1" applyFont="1" applyFill="1" applyBorder="1" applyAlignment="1">
      <alignment horizontal="center" wrapText="1"/>
    </xf>
    <xf numFmtId="0" fontId="5" fillId="14" borderId="34" xfId="1" applyFont="1" applyFill="1" applyBorder="1" applyAlignment="1">
      <alignment horizontal="left" vertical="top" wrapText="1"/>
    </xf>
    <xf numFmtId="0" fontId="8" fillId="0" borderId="6" xfId="4" applyFont="1" applyBorder="1" applyAlignment="1">
      <alignment horizontal="center" wrapText="1"/>
    </xf>
    <xf numFmtId="0" fontId="8" fillId="0" borderId="22" xfId="4" applyFont="1" applyBorder="1" applyAlignment="1">
      <alignment horizontal="center" wrapText="1"/>
    </xf>
    <xf numFmtId="0" fontId="8" fillId="0" borderId="9" xfId="4" applyFont="1" applyBorder="1" applyAlignment="1">
      <alignment horizontal="center" wrapText="1"/>
    </xf>
  </cellXfs>
  <cellStyles count="6">
    <cellStyle name="Normal" xfId="0" builtinId="0"/>
    <cellStyle name="Normal_Sheet1" xfId="3" xr:uid="{551F10B8-EFCA-4989-8DEF-779E120C7425}"/>
    <cellStyle name="Normal_Sheet1_1" xfId="5" xr:uid="{07BA853C-3CC8-4082-BD0C-71F999578398}"/>
    <cellStyle name="Normal_spss_seperteed Axes" xfId="2" xr:uid="{802E607B-1146-42B7-A854-C9918182420A}"/>
    <cellStyle name="Normal_spss_seperteed Axes_1" xfId="4" xr:uid="{DEDEC5AC-2ED7-4EEE-A602-66CEBE59A3EE}"/>
    <cellStyle name="Normal_spssseperteed" xfId="1" xr:uid="{3496276D-30D2-4760-8897-7311C9403AC9}"/>
  </cellStyles>
  <dxfs count="0"/>
  <tableStyles count="0" defaultTableStyle="TableStyleMedium2" defaultPivotStyle="PivotStyleLight16"/>
  <colors>
    <mruColors>
      <color rgb="FFFFFFCC"/>
      <color rgb="FFFF660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E4BC-250E-4E5C-8E42-FB46179ADC30}">
  <dimension ref="A1:AT90"/>
  <sheetViews>
    <sheetView tabSelected="1" topLeftCell="A48" zoomScale="90" zoomScaleNormal="90" workbookViewId="0">
      <selection activeCell="Q86" sqref="Q86"/>
    </sheetView>
  </sheetViews>
  <sheetFormatPr baseColWidth="10" defaultColWidth="8.83203125" defaultRowHeight="15"/>
  <cols>
    <col min="2" max="2" width="13.5" bestFit="1" customWidth="1"/>
    <col min="3" max="3" width="13.5" customWidth="1"/>
    <col min="7" max="7" width="14.1640625" bestFit="1" customWidth="1"/>
    <col min="8" max="8" width="12.1640625" bestFit="1" customWidth="1"/>
    <col min="12" max="12" width="13.5" bestFit="1" customWidth="1"/>
    <col min="13" max="13" width="11.5" bestFit="1" customWidth="1"/>
    <col min="17" max="17" width="14.33203125" bestFit="1" customWidth="1"/>
    <col min="18" max="18" width="11.5" bestFit="1" customWidth="1"/>
    <col min="22" max="22" width="13.33203125" bestFit="1" customWidth="1"/>
    <col min="23" max="23" width="23" bestFit="1" customWidth="1"/>
    <col min="27" max="27" width="11.5" bestFit="1" customWidth="1"/>
    <col min="28" max="28" width="13.5" bestFit="1" customWidth="1"/>
    <col min="32" max="33" width="11.5" bestFit="1" customWidth="1"/>
    <col min="37" max="38" width="11.5" bestFit="1" customWidth="1"/>
    <col min="42" max="42" width="14.33203125" bestFit="1" customWidth="1"/>
    <col min="43" max="43" width="11.5" bestFit="1" customWidth="1"/>
  </cols>
  <sheetData>
    <row r="1" spans="1:46">
      <c r="A1" s="1" t="s">
        <v>1</v>
      </c>
      <c r="B1" s="276" t="s">
        <v>182</v>
      </c>
      <c r="C1" s="8"/>
      <c r="D1" s="277" t="s">
        <v>14</v>
      </c>
      <c r="E1" s="277"/>
      <c r="F1" s="277"/>
      <c r="G1" s="278" t="s">
        <v>0</v>
      </c>
      <c r="H1" s="7"/>
      <c r="I1" s="277" t="s">
        <v>14</v>
      </c>
      <c r="J1" s="277"/>
      <c r="K1" s="277"/>
      <c r="L1" s="276" t="s">
        <v>24</v>
      </c>
      <c r="M1" s="8"/>
      <c r="N1" s="277" t="s">
        <v>14</v>
      </c>
      <c r="O1" s="277"/>
      <c r="P1" s="277"/>
      <c r="Q1" s="278" t="s">
        <v>0</v>
      </c>
      <c r="R1" s="7"/>
      <c r="S1" s="277" t="s">
        <v>14</v>
      </c>
      <c r="T1" s="277"/>
      <c r="U1" s="277"/>
      <c r="V1" s="276" t="s">
        <v>25</v>
      </c>
      <c r="W1" s="8"/>
      <c r="X1" s="277" t="s">
        <v>14</v>
      </c>
      <c r="Y1" s="277"/>
      <c r="Z1" s="277"/>
      <c r="AA1" s="278" t="s">
        <v>0</v>
      </c>
      <c r="AB1" s="7"/>
      <c r="AC1" s="277" t="s">
        <v>14</v>
      </c>
      <c r="AD1" s="277"/>
      <c r="AE1" s="277"/>
      <c r="AF1" s="278" t="s">
        <v>183</v>
      </c>
      <c r="AG1" s="7"/>
      <c r="AH1" s="277" t="s">
        <v>14</v>
      </c>
      <c r="AI1" s="277"/>
      <c r="AJ1" s="277"/>
      <c r="AK1" s="278" t="s">
        <v>28</v>
      </c>
      <c r="AL1" s="7"/>
      <c r="AM1" s="277" t="s">
        <v>14</v>
      </c>
      <c r="AN1" s="277"/>
      <c r="AO1" s="277"/>
      <c r="AP1" s="278" t="s">
        <v>27</v>
      </c>
      <c r="AQ1" s="7"/>
      <c r="AR1" s="277" t="s">
        <v>14</v>
      </c>
      <c r="AS1" s="277"/>
      <c r="AT1" s="277"/>
    </row>
    <row r="2" spans="1:46">
      <c r="A2" s="1" t="s">
        <v>2</v>
      </c>
      <c r="B2" s="276"/>
      <c r="C2" s="8"/>
      <c r="D2" s="2" t="s">
        <v>15</v>
      </c>
      <c r="E2" s="2" t="s">
        <v>16</v>
      </c>
      <c r="F2" s="2" t="s">
        <v>17</v>
      </c>
      <c r="G2" s="278"/>
      <c r="H2" s="7"/>
      <c r="I2" s="2" t="s">
        <v>15</v>
      </c>
      <c r="J2" s="2" t="s">
        <v>16</v>
      </c>
      <c r="K2" s="2" t="s">
        <v>17</v>
      </c>
      <c r="L2" s="276"/>
      <c r="M2" s="8"/>
      <c r="N2" s="2" t="s">
        <v>15</v>
      </c>
      <c r="O2" s="2" t="s">
        <v>16</v>
      </c>
      <c r="P2" s="2" t="s">
        <v>17</v>
      </c>
      <c r="Q2" s="278"/>
      <c r="R2" s="7"/>
      <c r="S2" s="2" t="s">
        <v>15</v>
      </c>
      <c r="T2" s="2" t="s">
        <v>16</v>
      </c>
      <c r="U2" s="2" t="s">
        <v>17</v>
      </c>
      <c r="V2" s="276"/>
      <c r="W2" s="8"/>
      <c r="X2" s="2" t="s">
        <v>15</v>
      </c>
      <c r="Y2" s="2" t="s">
        <v>16</v>
      </c>
      <c r="Z2" s="2" t="s">
        <v>17</v>
      </c>
      <c r="AA2" s="278"/>
      <c r="AB2" s="7"/>
      <c r="AC2" s="2" t="s">
        <v>15</v>
      </c>
      <c r="AD2" s="2" t="s">
        <v>16</v>
      </c>
      <c r="AE2" s="2" t="s">
        <v>17</v>
      </c>
      <c r="AF2" s="278"/>
      <c r="AG2" s="7"/>
      <c r="AH2" s="2" t="s">
        <v>15</v>
      </c>
      <c r="AI2" s="2" t="s">
        <v>16</v>
      </c>
      <c r="AJ2" s="2" t="s">
        <v>17</v>
      </c>
      <c r="AK2" s="278"/>
      <c r="AL2" s="7"/>
      <c r="AM2" s="2" t="s">
        <v>15</v>
      </c>
      <c r="AN2" s="2" t="s">
        <v>16</v>
      </c>
      <c r="AO2" s="2" t="s">
        <v>17</v>
      </c>
      <c r="AP2" s="278"/>
      <c r="AQ2" s="7"/>
      <c r="AR2" s="2" t="s">
        <v>15</v>
      </c>
      <c r="AS2" s="2" t="s">
        <v>16</v>
      </c>
      <c r="AT2" s="2" t="s">
        <v>17</v>
      </c>
    </row>
    <row r="3" spans="1:46">
      <c r="B3" t="s">
        <v>88</v>
      </c>
      <c r="C3" t="s">
        <v>26</v>
      </c>
      <c r="Q3" s="198"/>
    </row>
    <row r="4" spans="1:46">
      <c r="A4" t="s">
        <v>3</v>
      </c>
      <c r="B4">
        <v>3</v>
      </c>
      <c r="C4" s="11">
        <v>8.2961699999999999E-2</v>
      </c>
      <c r="D4" s="3">
        <v>0.60539351851851853</v>
      </c>
      <c r="E4" s="3">
        <v>0.60546296296296298</v>
      </c>
      <c r="F4" s="3">
        <f>E4-D4</f>
        <v>6.94444444444553E-5</v>
      </c>
      <c r="G4" s="198">
        <v>1</v>
      </c>
      <c r="H4" s="11">
        <v>9.0648339999999994E-2</v>
      </c>
      <c r="I4" s="3">
        <v>0.39640046296296294</v>
      </c>
      <c r="J4" s="3">
        <v>0.39652777777777776</v>
      </c>
      <c r="K4" s="3">
        <f t="shared" ref="K4:K14" si="0">J4-I4</f>
        <v>1.2731481481481621E-4</v>
      </c>
      <c r="L4">
        <v>2</v>
      </c>
      <c r="M4" s="11">
        <v>5.9700000000000003E-2</v>
      </c>
      <c r="N4" s="3">
        <v>0.43549768518518517</v>
      </c>
      <c r="O4" s="3">
        <v>0.43581018518518516</v>
      </c>
      <c r="P4" s="3">
        <f>O4-N4</f>
        <v>3.1249999999999334E-4</v>
      </c>
      <c r="Q4" s="198">
        <v>1</v>
      </c>
      <c r="R4" s="11">
        <v>5.2085390000000002E-2</v>
      </c>
      <c r="S4" s="3">
        <v>0.39756944444444442</v>
      </c>
      <c r="T4" s="3">
        <v>0.39770833333333333</v>
      </c>
      <c r="U4" s="3">
        <f t="shared" ref="U4:U14" si="1">T4-S4</f>
        <v>1.388888888889106E-4</v>
      </c>
      <c r="V4">
        <v>2</v>
      </c>
      <c r="W4" s="11">
        <v>8.0933140000000001E-2</v>
      </c>
      <c r="X4" s="3">
        <v>0.44467592592592592</v>
      </c>
      <c r="Y4" s="3">
        <v>0.44472222222222224</v>
      </c>
      <c r="Z4" s="3">
        <f t="shared" ref="Z4:Z14" si="2">Y4-X4</f>
        <v>4.6296296296322037E-5</v>
      </c>
      <c r="AA4" s="198">
        <v>1</v>
      </c>
      <c r="AB4" s="11">
        <v>0.10019069</v>
      </c>
      <c r="AC4" s="3">
        <v>0.39778935185185182</v>
      </c>
      <c r="AD4" s="3">
        <v>0.39792824074074074</v>
      </c>
      <c r="AE4" s="3">
        <f>AD4-AC4</f>
        <v>1.388888888889106E-4</v>
      </c>
      <c r="AF4">
        <v>1</v>
      </c>
      <c r="AG4">
        <v>8.165E-2</v>
      </c>
      <c r="AH4" s="3">
        <v>0.45200231481481479</v>
      </c>
      <c r="AI4" s="3">
        <v>0.45207175925925924</v>
      </c>
      <c r="AJ4" s="3">
        <f>AI4-AH4</f>
        <v>6.94444444444553E-5</v>
      </c>
      <c r="AK4">
        <v>2</v>
      </c>
      <c r="AL4">
        <v>5.7029000000000003E-2</v>
      </c>
      <c r="AM4" s="3">
        <v>0.45489583333333333</v>
      </c>
      <c r="AN4" s="3">
        <v>0.45496527777777779</v>
      </c>
      <c r="AO4" s="3">
        <f t="shared" ref="AO4:AO14" si="3">AN4-AM4</f>
        <v>6.94444444444553E-5</v>
      </c>
      <c r="AP4">
        <v>1</v>
      </c>
      <c r="AQ4">
        <v>8.1985000000000002E-2</v>
      </c>
      <c r="AR4" s="3">
        <v>0.44983796296296297</v>
      </c>
      <c r="AS4" s="3">
        <v>0.44988425925925923</v>
      </c>
      <c r="AT4" s="3">
        <f t="shared" ref="AT4:AT14" si="4">AS4-AR4</f>
        <v>4.6296296296266526E-5</v>
      </c>
    </row>
    <row r="5" spans="1:46">
      <c r="A5" t="s">
        <v>4</v>
      </c>
      <c r="B5">
        <v>2</v>
      </c>
      <c r="C5" s="11">
        <v>8.1789280000000006E-2</v>
      </c>
      <c r="D5" s="3">
        <v>0.6106597222222222</v>
      </c>
      <c r="E5" s="3">
        <v>0.61084490740740738</v>
      </c>
      <c r="F5" s="3">
        <f>E5-D5</f>
        <v>1.8518518518517713E-4</v>
      </c>
      <c r="G5" s="198">
        <v>6</v>
      </c>
      <c r="H5" s="11">
        <v>0.11530468000000001</v>
      </c>
      <c r="I5" s="3">
        <v>0.39967592592592593</v>
      </c>
      <c r="J5" s="3">
        <v>0.39990740740740743</v>
      </c>
      <c r="K5" s="3">
        <f t="shared" si="0"/>
        <v>2.3148148148149916E-4</v>
      </c>
      <c r="L5" s="275">
        <v>2</v>
      </c>
      <c r="M5" s="11">
        <v>6.8698159999999994E-2</v>
      </c>
      <c r="N5" s="3">
        <v>0.48480324074074072</v>
      </c>
      <c r="O5" s="3">
        <v>0.48489583333333336</v>
      </c>
      <c r="P5" s="3">
        <f t="shared" ref="P5:P14" si="5">O5-N5</f>
        <v>9.2592592592644074E-5</v>
      </c>
      <c r="Q5" s="198">
        <v>1</v>
      </c>
      <c r="R5" s="11">
        <v>7.3285859999999994E-2</v>
      </c>
      <c r="S5" s="3">
        <v>0.39998842592592593</v>
      </c>
      <c r="T5" s="3">
        <v>0.40010416666666665</v>
      </c>
      <c r="U5" s="3">
        <f t="shared" si="1"/>
        <v>1.1574074074072183E-4</v>
      </c>
      <c r="V5">
        <v>3</v>
      </c>
      <c r="W5" s="11">
        <v>8.0553509999999995E-2</v>
      </c>
      <c r="X5" s="3">
        <v>0.48499999999999999</v>
      </c>
      <c r="Y5" s="3">
        <v>0.48504629629629631</v>
      </c>
      <c r="Z5" s="3">
        <f t="shared" si="2"/>
        <v>4.6296296296322037E-5</v>
      </c>
      <c r="AA5" s="198">
        <v>4</v>
      </c>
      <c r="AB5" s="11">
        <v>9.8018759999999996E-2</v>
      </c>
      <c r="AC5" s="3">
        <v>0.40013888888888888</v>
      </c>
      <c r="AD5" s="3">
        <v>0.40033564814814815</v>
      </c>
      <c r="AE5" s="3">
        <f t="shared" ref="AE5:AE14" si="6">AD5-AC5</f>
        <v>1.9675925925927151E-4</v>
      </c>
      <c r="AF5">
        <v>2</v>
      </c>
      <c r="AG5">
        <v>8.9955640000000003E-2</v>
      </c>
      <c r="AH5" s="3">
        <v>0.49399305555555556</v>
      </c>
      <c r="AI5" s="3">
        <v>0.49410879629629628</v>
      </c>
      <c r="AJ5" s="3">
        <f t="shared" ref="AJ5:AJ11" si="7">AI5-AH5</f>
        <v>1.1574074074072183E-4</v>
      </c>
      <c r="AK5">
        <v>3</v>
      </c>
      <c r="AL5">
        <v>6.8196530000000005E-2</v>
      </c>
      <c r="AM5" s="3">
        <v>0.49296296296296294</v>
      </c>
      <c r="AN5" s="3">
        <v>0.49311342592592594</v>
      </c>
      <c r="AO5" s="3">
        <f t="shared" si="3"/>
        <v>1.5046296296300499E-4</v>
      </c>
      <c r="AP5">
        <v>2</v>
      </c>
      <c r="AQ5">
        <v>8.1965300000000005E-2</v>
      </c>
      <c r="AR5" s="3">
        <v>0.49376157407407406</v>
      </c>
      <c r="AS5" s="3">
        <v>0.49384259259259261</v>
      </c>
      <c r="AT5" s="3">
        <f t="shared" si="4"/>
        <v>8.1018518518549687E-5</v>
      </c>
    </row>
    <row r="6" spans="1:46">
      <c r="A6" t="s">
        <v>5</v>
      </c>
      <c r="B6">
        <v>3</v>
      </c>
      <c r="C6" s="11">
        <v>9.4351679999999993E-2</v>
      </c>
      <c r="D6" s="3">
        <v>0.67440972222222217</v>
      </c>
      <c r="E6" s="3">
        <v>0.6744444444444444</v>
      </c>
      <c r="F6" s="3">
        <f>E6-D6</f>
        <v>3.472222222222765E-5</v>
      </c>
      <c r="G6" s="198">
        <v>2</v>
      </c>
      <c r="H6" s="11">
        <v>8.67618E-2</v>
      </c>
      <c r="I6" s="3">
        <v>0.40982638888888889</v>
      </c>
      <c r="J6" s="3">
        <v>0.41002314814814816</v>
      </c>
      <c r="K6" s="3">
        <f t="shared" si="0"/>
        <v>1.9675925925927151E-4</v>
      </c>
      <c r="L6">
        <v>1</v>
      </c>
      <c r="M6" s="11">
        <v>5.0953400000000003E-2</v>
      </c>
      <c r="N6" s="3">
        <v>0.6118865740740741</v>
      </c>
      <c r="O6" s="3">
        <v>0.61202546296296301</v>
      </c>
      <c r="P6" s="3">
        <f t="shared" si="5"/>
        <v>1.388888888889106E-4</v>
      </c>
      <c r="Q6" s="198">
        <v>1</v>
      </c>
      <c r="R6" s="11">
        <v>5.7863770000000002E-2</v>
      </c>
      <c r="S6" s="3">
        <v>0.41008101851851853</v>
      </c>
      <c r="T6" s="3">
        <v>0.41021990740740738</v>
      </c>
      <c r="U6" s="3">
        <f t="shared" si="1"/>
        <v>1.3888888888885509E-4</v>
      </c>
      <c r="V6">
        <v>1</v>
      </c>
      <c r="W6" s="11">
        <v>8.3225729999999998E-2</v>
      </c>
      <c r="X6" s="3">
        <v>0.61212962962962958</v>
      </c>
      <c r="Y6" s="3">
        <v>0.6121875</v>
      </c>
      <c r="Z6" s="3">
        <f t="shared" si="2"/>
        <v>5.7870370370416424E-5</v>
      </c>
      <c r="AA6" s="198">
        <v>1</v>
      </c>
      <c r="AB6" s="11">
        <v>8.0178040000000006E-2</v>
      </c>
      <c r="AC6" s="3">
        <v>0.41025462962962961</v>
      </c>
      <c r="AD6" s="3">
        <v>0.41038194444444442</v>
      </c>
      <c r="AE6" s="3">
        <f t="shared" si="6"/>
        <v>1.2731481481481621E-4</v>
      </c>
      <c r="AF6">
        <v>3</v>
      </c>
      <c r="AG6">
        <v>8.2560510000000004E-2</v>
      </c>
      <c r="AH6" s="3">
        <v>0.62806712962962963</v>
      </c>
      <c r="AI6" s="3">
        <v>0.62818287037037035</v>
      </c>
      <c r="AJ6" s="3">
        <f t="shared" si="7"/>
        <v>1.1574074074072183E-4</v>
      </c>
      <c r="AK6">
        <v>2</v>
      </c>
      <c r="AL6">
        <v>5.0761859999999999E-2</v>
      </c>
      <c r="AM6" s="3">
        <v>0.62976851851851856</v>
      </c>
      <c r="AN6" s="3">
        <v>0.62986111111111109</v>
      </c>
      <c r="AO6" s="3">
        <f t="shared" si="3"/>
        <v>9.2592592592533052E-5</v>
      </c>
      <c r="AP6">
        <v>1</v>
      </c>
      <c r="AQ6">
        <v>8.2560510000000004E-2</v>
      </c>
      <c r="AR6" s="3">
        <v>0.63027777777777783</v>
      </c>
      <c r="AS6" s="3">
        <v>0.63033564814814813</v>
      </c>
      <c r="AT6" s="3">
        <f t="shared" si="4"/>
        <v>5.7870370370305402E-5</v>
      </c>
    </row>
    <row r="7" spans="1:46">
      <c r="A7" t="s">
        <v>6</v>
      </c>
      <c r="B7">
        <v>3</v>
      </c>
      <c r="C7" s="11">
        <v>8.3210759999999995E-2</v>
      </c>
      <c r="D7" s="3">
        <v>0.46347222222222223</v>
      </c>
      <c r="E7" s="3">
        <v>0.46371527777777777</v>
      </c>
      <c r="F7" s="3">
        <f>E7-D7</f>
        <v>2.4305555555553804E-4</v>
      </c>
      <c r="G7" s="198">
        <v>1</v>
      </c>
      <c r="H7" s="11">
        <v>9.0694640000000007E-2</v>
      </c>
      <c r="I7" s="3">
        <v>0.40667824074074072</v>
      </c>
      <c r="J7" s="3">
        <v>0.40674768518518517</v>
      </c>
      <c r="K7" s="3">
        <f t="shared" si="0"/>
        <v>6.94444444444553E-5</v>
      </c>
      <c r="L7">
        <v>1</v>
      </c>
      <c r="M7" s="11">
        <v>8.4006990000000004E-2</v>
      </c>
      <c r="N7" s="3">
        <v>0.67452546296296301</v>
      </c>
      <c r="O7" s="3">
        <v>0.67464120370370373</v>
      </c>
      <c r="P7" s="3">
        <f t="shared" si="5"/>
        <v>1.1574074074072183E-4</v>
      </c>
      <c r="Q7" s="198">
        <v>1</v>
      </c>
      <c r="R7" s="11">
        <v>6.1881029999999997E-2</v>
      </c>
      <c r="S7" s="3">
        <v>0.4067824074074074</v>
      </c>
      <c r="T7" s="3">
        <v>0.40685185185185185</v>
      </c>
      <c r="U7" s="3">
        <f t="shared" si="1"/>
        <v>6.94444444444553E-5</v>
      </c>
      <c r="V7">
        <v>5</v>
      </c>
      <c r="W7" s="11">
        <v>8.0369510000000005E-2</v>
      </c>
      <c r="X7" s="3">
        <v>0.67489583333333336</v>
      </c>
      <c r="Y7" s="3">
        <v>0.67495370370370367</v>
      </c>
      <c r="Z7" s="3">
        <f t="shared" si="2"/>
        <v>5.7870370370305402E-5</v>
      </c>
      <c r="AA7" s="198">
        <v>1</v>
      </c>
      <c r="AB7" s="11">
        <v>9.0278890000000001E-2</v>
      </c>
      <c r="AC7" s="3">
        <v>0.40686342592592595</v>
      </c>
      <c r="AD7" s="3">
        <v>0.40695601851851854</v>
      </c>
      <c r="AE7" s="3">
        <f t="shared" si="6"/>
        <v>9.2592592592588563E-5</v>
      </c>
      <c r="AF7">
        <v>1</v>
      </c>
      <c r="AG7">
        <v>8.9793360000000003E-2</v>
      </c>
      <c r="AH7" s="3">
        <v>0.68456018518518513</v>
      </c>
      <c r="AI7" s="3">
        <v>0.68473379629629627</v>
      </c>
      <c r="AJ7" s="3">
        <f t="shared" si="7"/>
        <v>1.7361111111113825E-4</v>
      </c>
      <c r="AK7">
        <v>3</v>
      </c>
      <c r="AL7">
        <v>5.6885900000000003E-2</v>
      </c>
      <c r="AM7" s="3">
        <v>0.68483796296296295</v>
      </c>
      <c r="AN7" s="3">
        <v>0.68490740740740741</v>
      </c>
      <c r="AO7" s="3">
        <f t="shared" si="3"/>
        <v>6.94444444444553E-5</v>
      </c>
      <c r="AP7">
        <v>1</v>
      </c>
      <c r="AQ7">
        <v>9.0614130000000001E-2</v>
      </c>
      <c r="AR7" s="3">
        <v>0.68500000000000005</v>
      </c>
      <c r="AS7" s="3">
        <v>0.68505787037037036</v>
      </c>
      <c r="AT7" s="3">
        <f t="shared" si="4"/>
        <v>5.7870370370305402E-5</v>
      </c>
    </row>
    <row r="8" spans="1:46">
      <c r="A8" t="s">
        <v>7</v>
      </c>
      <c r="B8">
        <v>2</v>
      </c>
      <c r="C8" s="11">
        <v>8.3098900000000003E-2</v>
      </c>
      <c r="D8" s="3">
        <v>0.49346064814814816</v>
      </c>
      <c r="E8" s="3">
        <v>0.49356481481481479</v>
      </c>
      <c r="F8" s="3">
        <f t="shared" ref="F8:F14" si="8">E8-D8</f>
        <v>1.0416666666662744E-4</v>
      </c>
      <c r="G8" s="198">
        <v>3</v>
      </c>
      <c r="H8" s="11">
        <v>9.647936E-2</v>
      </c>
      <c r="I8" s="3">
        <v>0.41649305555555555</v>
      </c>
      <c r="J8" s="3">
        <v>0.41668981481481482</v>
      </c>
      <c r="K8" s="3">
        <f t="shared" si="0"/>
        <v>1.9675925925927151E-4</v>
      </c>
      <c r="L8">
        <v>2</v>
      </c>
      <c r="M8" s="11">
        <v>5.3301429999999997E-2</v>
      </c>
      <c r="N8" s="3">
        <v>0.46384259259259258</v>
      </c>
      <c r="O8" s="3">
        <v>0.46392361111111113</v>
      </c>
      <c r="P8" s="3">
        <f t="shared" si="5"/>
        <v>8.1018518518549687E-5</v>
      </c>
      <c r="Q8" s="198">
        <v>1</v>
      </c>
      <c r="R8" s="11">
        <v>6.172068E-2</v>
      </c>
      <c r="S8" s="3">
        <v>0.41675925925925927</v>
      </c>
      <c r="T8" s="3">
        <v>0.416875</v>
      </c>
      <c r="U8" s="3">
        <f t="shared" si="1"/>
        <v>1.1574074074072183E-4</v>
      </c>
      <c r="V8">
        <v>3</v>
      </c>
      <c r="W8" s="11">
        <v>8.1518720000000003E-2</v>
      </c>
      <c r="X8" s="3">
        <v>0.46451388888888889</v>
      </c>
      <c r="Y8" s="3">
        <v>0.46460648148148148</v>
      </c>
      <c r="Z8" s="3">
        <f t="shared" si="2"/>
        <v>9.2592592592588563E-5</v>
      </c>
      <c r="AA8" s="198">
        <v>2</v>
      </c>
      <c r="AB8" s="11">
        <v>0.11487505000000001</v>
      </c>
      <c r="AC8" s="3">
        <v>0.41690972222222222</v>
      </c>
      <c r="AD8" s="3">
        <v>0.41708333333333331</v>
      </c>
      <c r="AE8" s="3">
        <f t="shared" si="6"/>
        <v>1.7361111111108274E-4</v>
      </c>
      <c r="AF8">
        <v>2</v>
      </c>
      <c r="AG8">
        <v>8.2614480000000004E-2</v>
      </c>
      <c r="AH8" s="3">
        <v>0.47781249999999997</v>
      </c>
      <c r="AI8" s="3">
        <v>0.47799768518518521</v>
      </c>
      <c r="AJ8" s="3">
        <f t="shared" si="7"/>
        <v>1.8518518518523264E-4</v>
      </c>
      <c r="AK8">
        <v>4</v>
      </c>
      <c r="AL8">
        <v>5.105034E-2</v>
      </c>
      <c r="AM8" s="3">
        <v>0.47606481481481483</v>
      </c>
      <c r="AN8" s="3">
        <v>0.47614583333333332</v>
      </c>
      <c r="AO8" s="3">
        <f t="shared" si="3"/>
        <v>8.1018518518494176E-5</v>
      </c>
      <c r="AP8">
        <v>2</v>
      </c>
      <c r="AQ8">
        <v>8.0600340000000006E-2</v>
      </c>
      <c r="AR8" s="3">
        <v>0.47687499999999999</v>
      </c>
      <c r="AS8" s="3">
        <v>0.47694444444444445</v>
      </c>
      <c r="AT8" s="3">
        <f t="shared" si="4"/>
        <v>6.94444444444553E-5</v>
      </c>
    </row>
    <row r="9" spans="1:46">
      <c r="A9" t="s">
        <v>8</v>
      </c>
      <c r="B9">
        <v>2</v>
      </c>
      <c r="C9" s="11">
        <v>8.2599850000000002E-2</v>
      </c>
      <c r="D9" s="3">
        <v>0.61033564814814811</v>
      </c>
      <c r="E9" s="3">
        <v>0.61045138888888884</v>
      </c>
      <c r="F9" s="3">
        <f t="shared" si="8"/>
        <v>1.1574074074072183E-4</v>
      </c>
      <c r="G9" s="198">
        <v>1</v>
      </c>
      <c r="H9" s="11">
        <v>8.8189859999999995E-2</v>
      </c>
      <c r="I9" s="3">
        <v>0.42126157407407405</v>
      </c>
      <c r="J9" s="3">
        <v>0.4213425925925926</v>
      </c>
      <c r="K9" s="3">
        <f t="shared" si="0"/>
        <v>8.1018518518549687E-5</v>
      </c>
      <c r="L9">
        <v>1</v>
      </c>
      <c r="M9" s="11">
        <v>6.9492380000000006E-2</v>
      </c>
      <c r="N9" s="3">
        <v>0.49309027777777775</v>
      </c>
      <c r="O9" s="3">
        <v>0.49311342592592594</v>
      </c>
      <c r="P9" s="3">
        <f t="shared" si="5"/>
        <v>2.3148148148188774E-5</v>
      </c>
      <c r="Q9" s="198">
        <v>1</v>
      </c>
      <c r="R9" s="11">
        <v>6.0816670000000003E-2</v>
      </c>
      <c r="S9" s="3">
        <v>0.42137731481481483</v>
      </c>
      <c r="T9" s="3">
        <v>0.42143518518518519</v>
      </c>
      <c r="U9" s="3">
        <f t="shared" si="1"/>
        <v>5.7870370370360913E-5</v>
      </c>
      <c r="V9">
        <v>1</v>
      </c>
      <c r="W9" s="11">
        <v>8.0133270000000006E-2</v>
      </c>
      <c r="X9" s="3">
        <v>0.49365740740740743</v>
      </c>
      <c r="Y9" s="3">
        <v>0.4937037037037037</v>
      </c>
      <c r="Z9" s="3">
        <f t="shared" si="2"/>
        <v>4.6296296296266526E-5</v>
      </c>
      <c r="AA9" s="198">
        <v>1</v>
      </c>
      <c r="AB9" s="11">
        <v>9.1011369999999994E-2</v>
      </c>
      <c r="AC9" s="3">
        <v>0.42150462962962965</v>
      </c>
      <c r="AD9" s="3">
        <v>0.42160879629629627</v>
      </c>
      <c r="AE9" s="3">
        <f t="shared" si="6"/>
        <v>1.0416666666662744E-4</v>
      </c>
      <c r="AF9">
        <v>1</v>
      </c>
      <c r="AG9">
        <v>8.1073720000000002E-2</v>
      </c>
      <c r="AH9" s="3">
        <v>0.50572916666666667</v>
      </c>
      <c r="AI9" s="3">
        <v>0.50577546296296294</v>
      </c>
      <c r="AJ9" s="3">
        <f t="shared" si="7"/>
        <v>4.6296296296266526E-5</v>
      </c>
      <c r="AK9">
        <v>1</v>
      </c>
      <c r="AL9">
        <v>5.9747990000000001E-2</v>
      </c>
      <c r="AM9" s="3">
        <v>0.50655092592592588</v>
      </c>
      <c r="AN9" s="3">
        <v>0.50659722222222225</v>
      </c>
      <c r="AO9" s="3">
        <f t="shared" si="3"/>
        <v>4.6296296296377548E-5</v>
      </c>
      <c r="AP9">
        <v>1</v>
      </c>
      <c r="AQ9">
        <v>8.2282190000000005E-2</v>
      </c>
      <c r="AR9" s="3">
        <v>0.50614583333333329</v>
      </c>
      <c r="AS9" s="3">
        <v>0.50618055555555552</v>
      </c>
      <c r="AT9" s="3">
        <f t="shared" si="4"/>
        <v>3.472222222222765E-5</v>
      </c>
    </row>
    <row r="10" spans="1:46">
      <c r="A10" t="s">
        <v>9</v>
      </c>
      <c r="B10">
        <v>3</v>
      </c>
      <c r="C10" s="11">
        <v>8.6271970000000003E-2</v>
      </c>
      <c r="D10" s="3">
        <v>0.64450231481481479</v>
      </c>
      <c r="E10" s="3">
        <v>0.6447222222222222</v>
      </c>
      <c r="F10" s="3">
        <f t="shared" si="8"/>
        <v>2.1990740740740478E-4</v>
      </c>
      <c r="G10" s="198">
        <v>3</v>
      </c>
      <c r="H10" s="11">
        <v>0.1073887</v>
      </c>
      <c r="I10" s="3">
        <v>0.45135416666666667</v>
      </c>
      <c r="J10" s="3">
        <v>0.45152777777777775</v>
      </c>
      <c r="K10" s="3">
        <f t="shared" si="0"/>
        <v>1.7361111111108274E-4</v>
      </c>
      <c r="L10">
        <v>1</v>
      </c>
      <c r="M10" s="11">
        <v>6.7033800000000004E-2</v>
      </c>
      <c r="N10" s="3">
        <v>0.61054398148148148</v>
      </c>
      <c r="O10" s="3">
        <v>0.61062499999999997</v>
      </c>
      <c r="P10" s="3">
        <f t="shared" si="5"/>
        <v>8.1018518518494176E-5</v>
      </c>
      <c r="Q10" s="198">
        <v>1</v>
      </c>
      <c r="R10" s="11">
        <v>8.503057E-2</v>
      </c>
      <c r="S10" s="3">
        <v>0.45179398148148148</v>
      </c>
      <c r="T10" s="3">
        <v>0.4519097222222222</v>
      </c>
      <c r="U10" s="3">
        <f t="shared" si="1"/>
        <v>1.1574074074072183E-4</v>
      </c>
      <c r="V10">
        <v>2</v>
      </c>
      <c r="W10" s="11">
        <v>8.0123470000000002E-2</v>
      </c>
      <c r="X10" s="3">
        <v>0.61072916666666666</v>
      </c>
      <c r="Y10" s="3">
        <v>0.61075231481481485</v>
      </c>
      <c r="Z10" s="3">
        <f t="shared" si="2"/>
        <v>2.3148148148188774E-5</v>
      </c>
      <c r="AA10" s="198">
        <v>3</v>
      </c>
      <c r="AB10" s="11">
        <v>8.1268590000000002E-2</v>
      </c>
      <c r="AC10" s="3">
        <v>0.45359953703703704</v>
      </c>
      <c r="AD10" s="3">
        <v>0.4536574074074074</v>
      </c>
      <c r="AE10" s="3">
        <f t="shared" si="6"/>
        <v>5.7870370370360913E-5</v>
      </c>
      <c r="AF10">
        <v>2</v>
      </c>
      <c r="AG10">
        <v>8.1837989999999999E-2</v>
      </c>
      <c r="AH10" s="3">
        <v>0.61914351851851857</v>
      </c>
      <c r="AI10" s="3">
        <v>0.61918981481481483</v>
      </c>
      <c r="AJ10" s="3">
        <f t="shared" si="7"/>
        <v>4.6296296296266526E-5</v>
      </c>
      <c r="AK10">
        <v>1</v>
      </c>
      <c r="AL10">
        <v>6.5826780000000001E-2</v>
      </c>
      <c r="AM10" s="3">
        <v>0.61930555555555555</v>
      </c>
      <c r="AN10" s="3">
        <v>0.61937500000000001</v>
      </c>
      <c r="AO10" s="3">
        <f t="shared" si="3"/>
        <v>6.94444444444553E-5</v>
      </c>
      <c r="AP10">
        <v>1</v>
      </c>
      <c r="AQ10">
        <v>8.5698830000000004E-2</v>
      </c>
      <c r="AR10" s="3">
        <v>0.62</v>
      </c>
      <c r="AS10" s="3">
        <v>0.62004629629629626</v>
      </c>
      <c r="AT10" s="3">
        <f t="shared" si="4"/>
        <v>4.6296296296266526E-5</v>
      </c>
    </row>
    <row r="11" spans="1:46">
      <c r="A11" t="s">
        <v>10</v>
      </c>
      <c r="B11">
        <v>4</v>
      </c>
      <c r="C11" s="11">
        <v>0.10157389999999999</v>
      </c>
      <c r="D11" s="3">
        <v>0.69666666666666666</v>
      </c>
      <c r="E11" s="3">
        <v>0.69695601851851852</v>
      </c>
      <c r="F11" s="3">
        <f t="shared" si="8"/>
        <v>2.8935185185186008E-4</v>
      </c>
      <c r="G11" s="198">
        <v>2</v>
      </c>
      <c r="H11" s="11">
        <v>8.5971270000000002E-2</v>
      </c>
      <c r="I11" s="3">
        <v>0.45855324074074072</v>
      </c>
      <c r="J11" s="3">
        <v>0.4586574074074074</v>
      </c>
      <c r="K11" s="3">
        <f t="shared" si="0"/>
        <v>1.0416666666668295E-4</v>
      </c>
      <c r="L11">
        <v>3</v>
      </c>
      <c r="M11" s="11">
        <v>5.113053E-2</v>
      </c>
      <c r="N11" s="3">
        <v>0.64500000000000002</v>
      </c>
      <c r="O11" s="3">
        <v>0.64509259259259255</v>
      </c>
      <c r="P11" s="3">
        <f t="shared" si="5"/>
        <v>9.2592592592533052E-5</v>
      </c>
      <c r="Q11" s="198">
        <v>4</v>
      </c>
      <c r="R11" s="11">
        <v>6.0766590000000002E-2</v>
      </c>
      <c r="S11" s="3">
        <v>0.45871527777777776</v>
      </c>
      <c r="T11" s="3">
        <v>0.45880787037037035</v>
      </c>
      <c r="U11" s="3">
        <f t="shared" si="1"/>
        <v>9.2592592592588563E-5</v>
      </c>
      <c r="V11">
        <v>1</v>
      </c>
      <c r="W11" s="11">
        <v>8.6926100000000006E-2</v>
      </c>
      <c r="X11" s="3">
        <v>0.64520833333333338</v>
      </c>
      <c r="Y11" s="3">
        <v>0.64523148148148146</v>
      </c>
      <c r="Z11" s="3">
        <f t="shared" si="2"/>
        <v>2.3148148148077752E-5</v>
      </c>
      <c r="AA11" s="198">
        <v>1</v>
      </c>
      <c r="AB11" s="11">
        <v>9.1599059999999996E-2</v>
      </c>
      <c r="AC11" s="3">
        <v>0.45885416666666667</v>
      </c>
      <c r="AD11" s="3">
        <v>0.45895833333333336</v>
      </c>
      <c r="AE11" s="3">
        <f t="shared" si="6"/>
        <v>1.0416666666668295E-4</v>
      </c>
      <c r="AF11">
        <v>1</v>
      </c>
      <c r="AG11">
        <v>8.3670069999999999E-2</v>
      </c>
      <c r="AH11" s="3">
        <v>0.65190972222222221</v>
      </c>
      <c r="AI11" s="3">
        <v>0.65194444444444444</v>
      </c>
      <c r="AJ11" s="3">
        <f t="shared" si="7"/>
        <v>3.472222222222765E-5</v>
      </c>
      <c r="AK11">
        <v>1</v>
      </c>
      <c r="AL11">
        <v>5.076464E-2</v>
      </c>
      <c r="AM11" s="3">
        <v>0.65170138888888884</v>
      </c>
      <c r="AN11" s="3">
        <v>0.65173611111111107</v>
      </c>
      <c r="AO11" s="3">
        <f t="shared" si="3"/>
        <v>3.472222222222765E-5</v>
      </c>
      <c r="AP11">
        <v>1</v>
      </c>
      <c r="AQ11">
        <v>8.1797789999999995E-2</v>
      </c>
      <c r="AR11" s="3">
        <v>0.65096064814814814</v>
      </c>
      <c r="AS11" s="3">
        <v>0.65099537037037036</v>
      </c>
      <c r="AT11" s="3">
        <f t="shared" si="4"/>
        <v>3.472222222222765E-5</v>
      </c>
    </row>
    <row r="12" spans="1:46">
      <c r="A12" t="s">
        <v>11</v>
      </c>
      <c r="B12">
        <v>1</v>
      </c>
      <c r="C12" s="11">
        <v>8.3263210000000004E-2</v>
      </c>
      <c r="D12" s="3">
        <v>0.6400231481481482</v>
      </c>
      <c r="E12" s="3">
        <v>0.64015046296296296</v>
      </c>
      <c r="F12" s="3">
        <f t="shared" si="8"/>
        <v>1.273148148147607E-4</v>
      </c>
      <c r="G12" s="198">
        <v>2</v>
      </c>
      <c r="H12" s="11">
        <v>0.1057094</v>
      </c>
      <c r="I12" s="3">
        <v>0.64362268518518517</v>
      </c>
      <c r="J12" s="3">
        <v>0.64386574074074077</v>
      </c>
      <c r="K12" s="3">
        <f t="shared" si="0"/>
        <v>2.4305555555559355E-4</v>
      </c>
      <c r="L12">
        <v>1</v>
      </c>
      <c r="M12" s="11">
        <v>5.0994530000000003E-2</v>
      </c>
      <c r="N12" s="3">
        <v>0.69712962962962965</v>
      </c>
      <c r="O12" s="3">
        <v>0.69725694444444442</v>
      </c>
      <c r="P12" s="3">
        <f t="shared" si="5"/>
        <v>1.273148148147607E-4</v>
      </c>
      <c r="Q12" s="198">
        <v>2</v>
      </c>
      <c r="R12" s="11">
        <v>5.953932E-2</v>
      </c>
      <c r="S12" s="3">
        <v>0.6440393518518519</v>
      </c>
      <c r="T12" s="3">
        <v>0.64415509259259263</v>
      </c>
      <c r="U12" s="3">
        <f t="shared" si="1"/>
        <v>1.1574074074072183E-4</v>
      </c>
      <c r="V12">
        <v>1</v>
      </c>
      <c r="W12" s="11">
        <v>8.1605999999999998E-2</v>
      </c>
      <c r="X12" s="3">
        <v>0.69731481481481483</v>
      </c>
      <c r="Y12" s="3">
        <v>0.69740740740740736</v>
      </c>
      <c r="Z12" s="3">
        <f t="shared" si="2"/>
        <v>9.2592592592533052E-5</v>
      </c>
      <c r="AA12" s="198">
        <v>2</v>
      </c>
      <c r="AB12" s="11">
        <v>0.10021474</v>
      </c>
      <c r="AC12" s="3">
        <v>0.64432870370370365</v>
      </c>
      <c r="AD12" s="3">
        <v>0.64444444444444449</v>
      </c>
      <c r="AE12" s="3">
        <f t="shared" si="6"/>
        <v>1.1574074074083285E-4</v>
      </c>
      <c r="AF12">
        <v>1</v>
      </c>
      <c r="AG12">
        <v>8.0749009999999996E-2</v>
      </c>
      <c r="AH12" s="3">
        <v>0.7029050925925926</v>
      </c>
      <c r="AI12" s="3">
        <v>0.70303240740740736</v>
      </c>
      <c r="AJ12" s="3">
        <f>AI12-AH12</f>
        <v>1.273148148147607E-4</v>
      </c>
      <c r="AK12">
        <v>1</v>
      </c>
      <c r="AL12">
        <v>5.2740839999999997E-2</v>
      </c>
      <c r="AM12" s="3">
        <v>0.70313657407407404</v>
      </c>
      <c r="AN12" s="3">
        <v>0.70324074074074072</v>
      </c>
      <c r="AO12" s="3">
        <f t="shared" si="3"/>
        <v>1.0416666666668295E-4</v>
      </c>
      <c r="AP12">
        <v>1</v>
      </c>
      <c r="AQ12">
        <v>8.1676830000000006E-2</v>
      </c>
      <c r="AR12" s="3">
        <v>0.70331018518518518</v>
      </c>
      <c r="AS12" s="3">
        <v>0.7033449074074074</v>
      </c>
      <c r="AT12" s="3">
        <f t="shared" si="4"/>
        <v>3.472222222222765E-5</v>
      </c>
    </row>
    <row r="13" spans="1:46">
      <c r="A13" t="s">
        <v>12</v>
      </c>
      <c r="B13">
        <v>3</v>
      </c>
      <c r="C13" s="11">
        <v>8.2961699999999999E-2</v>
      </c>
      <c r="D13" s="3">
        <v>0.60539351851851853</v>
      </c>
      <c r="E13" s="3">
        <v>0.60546296296296298</v>
      </c>
      <c r="F13" s="3">
        <f t="shared" si="8"/>
        <v>6.94444444444553E-5</v>
      </c>
      <c r="G13" s="198">
        <v>1</v>
      </c>
      <c r="H13" s="11">
        <v>8.1214700000000001E-2</v>
      </c>
      <c r="I13" s="3">
        <v>0.39675925925925926</v>
      </c>
      <c r="J13" s="3">
        <v>0.39685185185185184</v>
      </c>
      <c r="K13" s="3">
        <f t="shared" si="0"/>
        <v>9.2592592592588563E-5</v>
      </c>
      <c r="L13">
        <v>3</v>
      </c>
      <c r="M13" s="11">
        <v>5.1111080000000003E-2</v>
      </c>
      <c r="N13" s="3">
        <v>0.64083333333333337</v>
      </c>
      <c r="O13" s="3">
        <v>0.64096064814814813</v>
      </c>
      <c r="P13" s="3">
        <f t="shared" si="5"/>
        <v>1.273148148147607E-4</v>
      </c>
      <c r="Q13" s="198">
        <v>1</v>
      </c>
      <c r="R13" s="11">
        <v>5.7810269999999997E-2</v>
      </c>
      <c r="S13" s="3">
        <v>0.39688657407407407</v>
      </c>
      <c r="T13" s="3">
        <v>0.39697916666666666</v>
      </c>
      <c r="U13" s="3">
        <f t="shared" si="1"/>
        <v>9.2592592592588563E-5</v>
      </c>
      <c r="V13">
        <v>1</v>
      </c>
      <c r="W13" s="11">
        <v>8.0178369999999999E-2</v>
      </c>
      <c r="X13" s="3">
        <v>0.64103009259259258</v>
      </c>
      <c r="Y13" s="3">
        <v>0.64106481481481481</v>
      </c>
      <c r="Z13" s="3">
        <f t="shared" si="2"/>
        <v>3.472222222222765E-5</v>
      </c>
      <c r="AA13" s="198">
        <v>1</v>
      </c>
      <c r="AB13" s="11">
        <v>8.0689800000000006E-2</v>
      </c>
      <c r="AC13" s="3">
        <v>0.39703703703703702</v>
      </c>
      <c r="AD13" s="3">
        <v>0.39709490740740738</v>
      </c>
      <c r="AE13" s="3">
        <f t="shared" si="6"/>
        <v>5.7870370370360913E-5</v>
      </c>
      <c r="AF13" s="275">
        <v>1</v>
      </c>
      <c r="AG13">
        <v>8.3016510000000002E-2</v>
      </c>
      <c r="AH13" s="3">
        <v>0.64918981481481486</v>
      </c>
      <c r="AI13" s="3">
        <v>0.64924768518518516</v>
      </c>
      <c r="AJ13" s="3">
        <f>AI13-AH13</f>
        <v>5.7870370370305402E-5</v>
      </c>
      <c r="AK13">
        <v>2</v>
      </c>
      <c r="AL13">
        <v>5.1478669999999997E-2</v>
      </c>
      <c r="AM13" s="3">
        <v>0.64930555555555558</v>
      </c>
      <c r="AN13" s="3">
        <v>0.64939814814814811</v>
      </c>
      <c r="AO13" s="3">
        <f t="shared" si="3"/>
        <v>9.2592592592533052E-5</v>
      </c>
      <c r="AP13">
        <v>2</v>
      </c>
      <c r="AQ13">
        <v>8.0185880000000001E-2</v>
      </c>
      <c r="AR13" s="3">
        <v>0.64944444444444449</v>
      </c>
      <c r="AS13" s="3">
        <v>0.64947916666666672</v>
      </c>
      <c r="AT13" s="3">
        <f t="shared" si="4"/>
        <v>3.472222222222765E-5</v>
      </c>
    </row>
    <row r="14" spans="1:46">
      <c r="A14" t="s">
        <v>13</v>
      </c>
      <c r="B14">
        <v>2</v>
      </c>
      <c r="C14" s="11">
        <v>8.1076159999999994E-2</v>
      </c>
      <c r="D14" s="3">
        <v>0.48458333333333331</v>
      </c>
      <c r="E14" s="3">
        <v>0.48475694444444445</v>
      </c>
      <c r="F14" s="3">
        <f t="shared" si="8"/>
        <v>1.7361111111113825E-4</v>
      </c>
      <c r="G14" s="198">
        <v>1</v>
      </c>
      <c r="H14" s="11">
        <v>0.111403</v>
      </c>
      <c r="I14" s="3">
        <v>0.4001851851851852</v>
      </c>
      <c r="J14" s="3">
        <v>0.40025462962962965</v>
      </c>
      <c r="K14" s="3">
        <f t="shared" si="0"/>
        <v>6.94444444444553E-5</v>
      </c>
      <c r="L14">
        <v>1</v>
      </c>
      <c r="M14" s="11">
        <v>5.557082E-2</v>
      </c>
      <c r="N14" s="3">
        <v>0.60559027777777774</v>
      </c>
      <c r="O14" s="3">
        <v>0.60584490740740737</v>
      </c>
      <c r="P14" s="3">
        <f t="shared" si="5"/>
        <v>2.5462962962963243E-4</v>
      </c>
      <c r="Q14" s="198">
        <v>1</v>
      </c>
      <c r="R14" s="11">
        <v>6.7007250000000004E-2</v>
      </c>
      <c r="S14" s="3">
        <v>0.39913194444444444</v>
      </c>
      <c r="T14" s="3">
        <v>0.39924768518518516</v>
      </c>
      <c r="U14" s="3">
        <f t="shared" si="1"/>
        <v>1.1574074074072183E-4</v>
      </c>
      <c r="V14">
        <v>1</v>
      </c>
      <c r="W14" s="11">
        <v>8.3127649999999997E-2</v>
      </c>
      <c r="X14" s="3">
        <v>0.6059606481481481</v>
      </c>
      <c r="Y14" s="3">
        <v>0.60605324074074074</v>
      </c>
      <c r="Z14" s="3">
        <f t="shared" si="2"/>
        <v>9.2592592592644074E-5</v>
      </c>
      <c r="AA14" s="198">
        <v>1</v>
      </c>
      <c r="AB14" s="11">
        <v>8.5250370000000006E-2</v>
      </c>
      <c r="AC14" s="3">
        <v>0.40039351851851851</v>
      </c>
      <c r="AD14" s="3">
        <v>0.40046296296296297</v>
      </c>
      <c r="AE14" s="3">
        <f t="shared" si="6"/>
        <v>6.94444444444553E-5</v>
      </c>
      <c r="AF14">
        <v>1</v>
      </c>
      <c r="AG14">
        <v>8.102086E-2</v>
      </c>
      <c r="AH14" s="3">
        <v>0.61498842592592595</v>
      </c>
      <c r="AI14" s="3">
        <v>0.61512731481481486</v>
      </c>
      <c r="AJ14" s="3">
        <f>AI14-AH14</f>
        <v>1.388888888889106E-4</v>
      </c>
      <c r="AK14">
        <v>1</v>
      </c>
      <c r="AL14">
        <v>5.3485079999999997E-2</v>
      </c>
      <c r="AM14" s="3">
        <v>0.61554398148148148</v>
      </c>
      <c r="AN14" s="3">
        <v>0.61565972222222221</v>
      </c>
      <c r="AO14" s="3">
        <f t="shared" si="3"/>
        <v>1.1574074074072183E-4</v>
      </c>
      <c r="AP14">
        <v>1</v>
      </c>
      <c r="AQ14">
        <v>8.419401E-2</v>
      </c>
      <c r="AR14" s="3">
        <v>0.61577546296296293</v>
      </c>
      <c r="AS14" s="3">
        <v>0.61585648148148153</v>
      </c>
      <c r="AT14" s="3">
        <f t="shared" si="4"/>
        <v>8.1018518518605198E-5</v>
      </c>
    </row>
    <row r="15" spans="1:46">
      <c r="I15" s="3"/>
      <c r="J15" s="3"/>
      <c r="K15" s="3"/>
      <c r="S15" s="3"/>
      <c r="T15" s="3"/>
      <c r="AC15" s="3"/>
      <c r="AD15" s="3"/>
    </row>
    <row r="16" spans="1:46">
      <c r="A16" s="4" t="s">
        <v>18</v>
      </c>
      <c r="B16" s="194">
        <f>AVERAGE(B4:B14)</f>
        <v>2.5454545454545454</v>
      </c>
      <c r="C16" s="194">
        <f>AVERAGE(C4:C14)</f>
        <v>8.574173727272727E-2</v>
      </c>
      <c r="F16" s="3">
        <f>AVERAGE(F4:F13)</f>
        <v>1.4583333333332283E-4</v>
      </c>
      <c r="G16" s="199">
        <f t="shared" ref="G16:H16" si="9">AVERAGE(G4:G14)</f>
        <v>2.0909090909090908</v>
      </c>
      <c r="H16" s="199">
        <f t="shared" si="9"/>
        <v>9.6342340909090898E-2</v>
      </c>
      <c r="K16" s="3">
        <f>AVERAGE(K2:K12)</f>
        <v>1.5817901234569141E-4</v>
      </c>
      <c r="L16" s="197">
        <f>AVERAGE(L4:L14)</f>
        <v>1.6363636363636365</v>
      </c>
      <c r="M16" s="197">
        <f>AVERAGE(M4:M14)</f>
        <v>6.018119272727273E-2</v>
      </c>
      <c r="P16" s="3">
        <f>AVERAGE(P4:P14)</f>
        <v>1.3152356902356268E-4</v>
      </c>
      <c r="Q16" s="197">
        <f>AVERAGE(Q4:Q14)</f>
        <v>1.3636363636363635</v>
      </c>
      <c r="R16" s="197">
        <f>AVERAGE(R4:R14)</f>
        <v>6.3437036363636359E-2</v>
      </c>
      <c r="U16" s="3">
        <f>AVERAGE(U2:U13)</f>
        <v>1.0532407407406463E-4</v>
      </c>
      <c r="V16" s="200">
        <f>AVERAGE(V4:V14)</f>
        <v>1.9090909090909092</v>
      </c>
      <c r="W16" s="200">
        <f>AVERAGE(W4:W14)</f>
        <v>8.1699588181818161E-2</v>
      </c>
      <c r="Z16" s="3">
        <f>AVERAGE(Z4:Z14)</f>
        <v>5.5765993265990208E-5</v>
      </c>
      <c r="AA16" s="200">
        <f>AVERAGE(AA4:AA14)</f>
        <v>1.6363636363636365</v>
      </c>
      <c r="AB16" s="200">
        <f>AVERAGE(AB4:AB14)</f>
        <v>9.2143214545454544E-2</v>
      </c>
      <c r="AE16" s="3">
        <f>AVERAGE(AE2:AE13)</f>
        <v>1.1689814814815347E-4</v>
      </c>
      <c r="AF16" s="200">
        <f>AVERAGE(AF4:AF14)</f>
        <v>1.4545454545454546</v>
      </c>
      <c r="AG16" s="200">
        <f>AVERAGE(AG4:AG14)</f>
        <v>8.3449286363636369E-2</v>
      </c>
      <c r="AJ16" s="3">
        <f>AVERAGE(AJ1:AJ12)</f>
        <v>1.0159465020575458E-4</v>
      </c>
      <c r="AK16" s="200">
        <f>AVERAGE(AK4:AK14)</f>
        <v>1.9090909090909092</v>
      </c>
      <c r="AL16" s="200">
        <f>AVERAGE(AL4:AL14)</f>
        <v>5.6178875454545446E-2</v>
      </c>
      <c r="AO16" s="3">
        <f>AVERAGE(AO1:AO12)</f>
        <v>7.9732510288076254E-5</v>
      </c>
      <c r="AP16" s="200" t="s">
        <v>134</v>
      </c>
      <c r="AQ16" s="200">
        <f>AVERAGE(AQ4:AQ14)</f>
        <v>8.3050982727272737E-2</v>
      </c>
      <c r="AT16" s="3">
        <f>AVERAGE(AT1:AT12)</f>
        <v>5.1440329218092419E-5</v>
      </c>
    </row>
    <row r="17" spans="1:46">
      <c r="A17" s="4" t="s">
        <v>19</v>
      </c>
      <c r="B17" s="194">
        <f>MEDIAN(B4:B14)</f>
        <v>3</v>
      </c>
      <c r="C17" s="194">
        <f>MEDIAN(C4:C14)</f>
        <v>8.3098900000000003E-2</v>
      </c>
      <c r="F17" s="3">
        <f>MEDIAN(F4:F14)</f>
        <v>1.273148148147607E-4</v>
      </c>
      <c r="G17" s="199">
        <f t="shared" ref="G17:H17" si="10">MEDIAN(G4:G14)</f>
        <v>2</v>
      </c>
      <c r="H17" s="199">
        <f t="shared" si="10"/>
        <v>9.0694640000000007E-2</v>
      </c>
      <c r="K17" s="3">
        <f>MEDIAN(K2:K12)</f>
        <v>1.7361111111108274E-4</v>
      </c>
      <c r="L17" s="197">
        <f>MEDIAN(L4:L14)</f>
        <v>1</v>
      </c>
      <c r="M17" s="197">
        <f>MEDIAN(M4:M14)</f>
        <v>5.557082E-2</v>
      </c>
      <c r="P17" s="3">
        <f>MEDIAN(P4:P14)</f>
        <v>1.1574074074072183E-4</v>
      </c>
      <c r="Q17" s="197">
        <f>MEDIAN(Q4:Q14)</f>
        <v>1</v>
      </c>
      <c r="R17" s="197">
        <f>MEDIAN(R4:R14)</f>
        <v>6.0816670000000003E-2</v>
      </c>
      <c r="U17" s="3">
        <f>MEDIAN(U2:U13)</f>
        <v>1.1574074074072183E-4</v>
      </c>
      <c r="V17" s="200">
        <f>MEDIAN(V4:V14)</f>
        <v>1</v>
      </c>
      <c r="W17" s="200">
        <f>MEDIAN(W4:W14)</f>
        <v>8.0933140000000001E-2</v>
      </c>
      <c r="Z17" s="3">
        <f>MEDIAN(Z4:Z14)</f>
        <v>4.6296296296322037E-5</v>
      </c>
      <c r="AA17" s="200">
        <f>MEDIAN(AA4:AA14)</f>
        <v>1</v>
      </c>
      <c r="AB17" s="200">
        <f>MEDIAN(AB4:AB14)</f>
        <v>9.1011369999999994E-2</v>
      </c>
      <c r="AE17" s="3">
        <f>MEDIAN(AE2:AE13)</f>
        <v>1.099537037037579E-4</v>
      </c>
      <c r="AF17" s="200">
        <f>MEDIAN(AF4:AF14)</f>
        <v>1</v>
      </c>
      <c r="AG17" s="200">
        <f>MEDIAN(AG4:AG14)</f>
        <v>8.2560510000000004E-2</v>
      </c>
      <c r="AJ17" s="3">
        <f>MEDIAN(AJ1:AJ12)</f>
        <v>1.1574074074072183E-4</v>
      </c>
      <c r="AK17" s="200">
        <f>MEDIAN(AK4:AK14)</f>
        <v>2</v>
      </c>
      <c r="AL17" s="200">
        <f>MEDIAN(AL4:AL14)</f>
        <v>5.3485079999999997E-2</v>
      </c>
      <c r="AO17" s="3">
        <f>MEDIAN(AO1:AO12)</f>
        <v>6.94444444444553E-5</v>
      </c>
      <c r="AP17" s="200">
        <f>MEDIAN(AP1:AP12)</f>
        <v>1</v>
      </c>
      <c r="AQ17" s="200">
        <f>MEDIAN(AQ4:AQ14)</f>
        <v>8.1985000000000002E-2</v>
      </c>
      <c r="AT17" s="3">
        <f>MEDIAN(AT1:AT12)</f>
        <v>4.6296296296266526E-5</v>
      </c>
    </row>
    <row r="18" spans="1:46">
      <c r="A18" s="4" t="s">
        <v>20</v>
      </c>
      <c r="B18" s="194">
        <f>STDEV(B4:B13)</f>
        <v>0.84327404271156814</v>
      </c>
      <c r="C18" s="194">
        <f>STDEV(C4:C14)</f>
        <v>6.3821733701946541E-3</v>
      </c>
      <c r="F18" s="3">
        <f>STDEV(F4:F13)</f>
        <v>8.438409329933516E-5</v>
      </c>
      <c r="G18" s="199">
        <f t="shared" ref="G18:H18" si="11">STDEV(G4:G14)</f>
        <v>1.513574937328539</v>
      </c>
      <c r="H18" s="199">
        <f t="shared" si="11"/>
        <v>1.164108623682217E-2</v>
      </c>
      <c r="K18" s="3">
        <f>STDEV(K2:K12)</f>
        <v>6.4701041015620346E-5</v>
      </c>
      <c r="L18" s="197">
        <f>STDEV(L4:L14)</f>
        <v>0.8090398349558906</v>
      </c>
      <c r="M18" s="197">
        <f>STDEV(M4:M14)</f>
        <v>1.0846245303085386E-2</v>
      </c>
      <c r="P18" s="3">
        <f>STDEV(P4:P14)</f>
        <v>8.2537468770796959E-5</v>
      </c>
      <c r="Q18" s="197">
        <f>STDEV(Q4:Q14)</f>
        <v>0.9244162777371755</v>
      </c>
      <c r="R18" s="197">
        <f>STDEV(R4:R14)</f>
        <v>8.9563661808406206E-3</v>
      </c>
      <c r="U18" s="3">
        <f>STDEV(U2:U13)</f>
        <v>2.6978601446056077E-5</v>
      </c>
      <c r="V18" s="200">
        <f>STDEV(V4:V14)</f>
        <v>1.300349603340998</v>
      </c>
      <c r="W18" s="200">
        <f>STDEV(W4:W14)</f>
        <v>2.0651396841076795E-3</v>
      </c>
      <c r="Z18" s="3">
        <f>STDEV(Z4:Z14)</f>
        <v>2.6300504713751464E-5</v>
      </c>
      <c r="AA18" s="200">
        <f>STDEV(AA4:AA14)</f>
        <v>1.0269106361049412</v>
      </c>
      <c r="AB18" s="200">
        <f>STDEV(AB4:AB14)</f>
        <v>1.061290495442545E-2</v>
      </c>
      <c r="AE18" s="3">
        <f>STDEV(AE2:AE13)</f>
        <v>4.4809590766159337E-5</v>
      </c>
      <c r="AF18" s="200">
        <f>STDEV(AF4:AF14)</f>
        <v>0.68755165095232862</v>
      </c>
      <c r="AG18" s="200">
        <f>STDEV(AG4:AG14)</f>
        <v>3.3010383792203115E-3</v>
      </c>
      <c r="AJ18" s="3">
        <f>STDEV(AJ1:AJ12)</f>
        <v>5.5741447827174812E-5</v>
      </c>
      <c r="AK18" s="200">
        <f>STDEV(AK4:AK14)</f>
        <v>1.0444659357341868</v>
      </c>
      <c r="AL18" s="200">
        <f>STDEV(AL4:AL14)</f>
        <v>6.1448815117500274E-3</v>
      </c>
      <c r="AO18" s="3">
        <f>STDEV(AO1:AO12)</f>
        <v>3.3963767094246976E-5</v>
      </c>
      <c r="AP18" s="200">
        <f>STDEV(AP1:AP12)</f>
        <v>0.44095855184409838</v>
      </c>
      <c r="AQ18" s="200">
        <f>STDEV(AQ4:AQ14)</f>
        <v>2.9383445382020492E-3</v>
      </c>
      <c r="AT18" s="3">
        <f>STDEV(AT1:AT12)</f>
        <v>1.6481488706247633E-5</v>
      </c>
    </row>
    <row r="19" spans="1:46">
      <c r="A19" s="4" t="s">
        <v>21</v>
      </c>
      <c r="B19" s="194">
        <f>QUARTILE(B4:B13, 3) - QUARTILE(B4:B13, 1)</f>
        <v>1</v>
      </c>
      <c r="C19" s="194">
        <f>QUARTILE(C4:C14, 3) - QUARTILE(C4:C14, 1)</f>
        <v>1.9868150000000029E-3</v>
      </c>
      <c r="F19" s="3">
        <f>QUARTILE(F4:F13, 3) - QUARTILE(F4:F13, 1)</f>
        <v>1.3310185185184953E-4</v>
      </c>
      <c r="G19" s="199">
        <f t="shared" ref="G19:H19" si="12">QUARTILE(G4:G14, 3) - QUARTILE(G4:G14, 1)</f>
        <v>1.5</v>
      </c>
      <c r="H19" s="199">
        <f t="shared" si="12"/>
        <v>1.9073220000000002E-2</v>
      </c>
      <c r="K19" s="3">
        <f>QUARTILE(K2:K12, 3) - QUARTILE(K2:K12, 1)</f>
        <v>9.2592592592588563E-5</v>
      </c>
      <c r="L19" s="197">
        <f>QUARTILE(L4:L14, 3) - QUARTILE(L4:L14, 1)</f>
        <v>1</v>
      </c>
      <c r="M19" s="197">
        <f>QUARTILE(M4:M14, 3) - QUARTILE(M4:M14, 1)</f>
        <v>1.6745174999999987E-2</v>
      </c>
      <c r="P19" s="3">
        <f>QUARTILE(P4:P14, 3) - QUARTILE(P4:P14, 1)</f>
        <v>4.6296296296294281E-5</v>
      </c>
      <c r="Q19" s="197">
        <f>QUARTILE(Q4:Q14, 3) - QUARTILE(Q4:Q14, 1)</f>
        <v>0</v>
      </c>
      <c r="R19" s="197">
        <f>QUARTILE(R4:R14, 3) - QUARTILE(R4:R14, 1)</f>
        <v>5.7425949999999962E-3</v>
      </c>
      <c r="U19" s="3">
        <f>QUARTILE(U2:U13, 3) - QUARTILE(U2:U13, 1)</f>
        <v>2.3148148148133263E-5</v>
      </c>
      <c r="V19" s="200">
        <f>QUARTILE(V4:V14, 3) - QUARTILE(V4:V14, 1)</f>
        <v>1.5</v>
      </c>
      <c r="W19" s="200">
        <f>QUARTILE(W4:W14, 3) - QUARTILE(W4:W14, 1)</f>
        <v>2.0928850000000027E-3</v>
      </c>
      <c r="Z19" s="3">
        <f>QUARTILE(Z4:Z14, 3) - QUARTILE(Z4:Z14, 1)</f>
        <v>3.472222222222765E-5</v>
      </c>
      <c r="AA19" s="200">
        <f>QUARTILE(AA4:AA14, 3) - QUARTILE(AA4:AA14, 1)</f>
        <v>1</v>
      </c>
      <c r="AB19" s="200">
        <f>QUARTILE(AB4:AB14, 3) - QUARTILE(AB4:AB14, 1)</f>
        <v>1.5845245000000008E-2</v>
      </c>
      <c r="AE19" s="3">
        <f>QUARTILE(AE2:AE13, 3) - QUARTILE(AE2:AE13, 1)</f>
        <v>4.0509259259288721E-5</v>
      </c>
      <c r="AF19" s="200">
        <f>QUARTILE(AF4:AF14, 3) - QUARTILE(AF4:AF14, 1)</f>
        <v>1</v>
      </c>
      <c r="AG19" s="200">
        <f>QUARTILE(AG4:AG14, 3) - QUARTILE(AG4:AG14, 1)</f>
        <v>1.9814299999999924E-3</v>
      </c>
      <c r="AJ19" s="3">
        <f>QUARTILE(AJ1:AJ12, 3) - QUARTILE(AJ1:AJ12, 1)</f>
        <v>8.1018518518494176E-5</v>
      </c>
      <c r="AK19" s="200">
        <f>QUARTILE(AK4:AK14, 3) - QUARTILE(AK4:AK14, 1)</f>
        <v>1.5</v>
      </c>
      <c r="AL19" s="200">
        <f>QUARTILE(AL4:AL14, 3) - QUARTILE(AL4:AL14, 1)</f>
        <v>7.1239899999999967E-3</v>
      </c>
      <c r="AO19" s="3">
        <f>QUARTILE(AO1:AO12, 3) - QUARTILE(AO1:AO12, 1)</f>
        <v>2.3148148148077752E-5</v>
      </c>
      <c r="AP19" s="200">
        <f>QUARTILE(AP1:AP12, 3) - QUARTILE(AP1:AP12, 1)</f>
        <v>0</v>
      </c>
      <c r="AQ19" s="200">
        <f>QUARTILE(AQ4:AQ14, 3) - QUARTILE(AQ4:AQ14, 1)</f>
        <v>1.6399500000000011E-3</v>
      </c>
      <c r="AT19" s="3">
        <f>QUARTILE(AT1:AT12, 3) - QUARTILE(AT1:AT12, 1)</f>
        <v>2.3148148148077752E-5</v>
      </c>
    </row>
    <row r="20" spans="1:46">
      <c r="A20" s="4" t="s">
        <v>22</v>
      </c>
      <c r="B20" s="194">
        <f>STDEV(B4:B13)/SQRT(COUNT(B4:B13))</f>
        <v>0.26666666666666677</v>
      </c>
      <c r="C20" s="194">
        <f>STDEV(C4:C14)/SQRT(COUNT(C4:C14))</f>
        <v>1.9242976741757874E-3</v>
      </c>
      <c r="F20" s="5">
        <f>STDEV(F4:F13)/SQRT(COUNT(F4:F13))</f>
        <v>2.6684593311405178E-5</v>
      </c>
      <c r="G20" s="199">
        <f t="shared" ref="G20:H20" si="13">STDEV(G4:G14)/SQRT(COUNT(G4:G14))</f>
        <v>0.45636001447313213</v>
      </c>
      <c r="H20" s="199">
        <f t="shared" si="13"/>
        <v>3.509919563609951E-3</v>
      </c>
      <c r="K20" s="6">
        <f>STDEV(K4:K13)/SQRT(COUNT(K4:K13))</f>
        <v>2.0374607911283173E-5</v>
      </c>
      <c r="L20" s="197">
        <f t="shared" ref="L20:M20" si="14">STDEV(L4:L14)/SQRT(COUNT(L4:L14))</f>
        <v>0.24393468845452254</v>
      </c>
      <c r="M20" s="197">
        <f t="shared" si="14"/>
        <v>3.270266004953528E-3</v>
      </c>
      <c r="P20" s="5">
        <f>STDEV(P4:P14)/SQRT(COUNT(P4:P14))</f>
        <v>2.4885983187128167E-5</v>
      </c>
      <c r="Q20" s="197">
        <f>STDEV(Q4:Q14)/SQRT(COUNT(Q4:Q14))</f>
        <v>0.27872199485010718</v>
      </c>
      <c r="R20" s="197">
        <f>STDEV(R4:R14)/SQRT(COUNT(R4:R14))</f>
        <v>2.7004460097160652E-3</v>
      </c>
      <c r="U20" s="6">
        <f>STDEV(U4:U14)/SQRT(COUNT(U4:U14))</f>
        <v>7.774811953665004E-6</v>
      </c>
      <c r="V20" s="200">
        <f>STDEV(V4:V14)/SQRT(COUNT(V4:V14))</f>
        <v>0.3920701573245059</v>
      </c>
      <c r="W20" s="200">
        <f>STDEV(W4:W14)/SQRT(COUNT(W4:W14))</f>
        <v>6.2266304289620446E-4</v>
      </c>
      <c r="Z20" s="5">
        <f>STDEV(Z29:Z39)/SQRT(COUNT(Z29:Z39))</f>
        <v>7.9299005393170144E-6</v>
      </c>
      <c r="AA20" s="200">
        <f>STDEV(AA4:AA14)/SQRT(COUNT(AA4:AA14))</f>
        <v>0.30962520665320736</v>
      </c>
      <c r="AB20" s="200">
        <f>STDEV(AB4:AB14)/SQRT(COUNT(AB4:AB14))</f>
        <v>3.1999112426848264E-3</v>
      </c>
      <c r="AE20" s="6">
        <f>STDEV(AE4:AE14)/SQRT(COUNT(AE4:AE14))</f>
        <v>1.3523795465539095E-5</v>
      </c>
      <c r="AF20" s="200">
        <f>STDEV(AF4:AF14)/SQRT(COUNT(AF4:AF14))</f>
        <v>0.20730462274529782</v>
      </c>
      <c r="AG20" s="200">
        <f>STDEV(AG4:AG14)/SQRT(COUNT(AG4:AG14))</f>
        <v>9.9530052022151773E-4</v>
      </c>
      <c r="AJ20" s="6">
        <f>STDEV(AJ2:AJ13)/SQRT(COUNT(AJ2:AJ13))</f>
        <v>1.7184457909974932E-5</v>
      </c>
      <c r="AK20" s="200">
        <f>STDEV(AK4:AK14)/SQRT(COUNT(AK4:AK14))</f>
        <v>0.31491832864888669</v>
      </c>
      <c r="AL20" s="200">
        <f>STDEV(AL4:AL14)/SQRT(COUNT(AL4:AL14))</f>
        <v>1.8527514868787915E-3</v>
      </c>
      <c r="AO20" s="6">
        <f>STDEV(AO2:AO13)/SQRT(COUNT(AO2:AO13))</f>
        <v>1.020737388527839E-5</v>
      </c>
      <c r="AP20" s="200">
        <f>STDEV(AP4:AP14)/SQRT(COUNT(AP4:AP14))</f>
        <v>0.14083575804390613</v>
      </c>
      <c r="AQ20" s="200">
        <f>STDEV(AQ4:AQ14)/SQRT(COUNT(AQ4:AQ14))</f>
        <v>8.8594421254602782E-4</v>
      </c>
      <c r="AT20" s="6">
        <f>STDEV(AT2:AT13)/SQRT(COUNT(AT2:AT13))</f>
        <v>5.1904413761858776E-6</v>
      </c>
    </row>
    <row r="24" spans="1:46">
      <c r="C24">
        <v>8.0597650000000007E-2</v>
      </c>
      <c r="H24">
        <v>8.0597650000000007E-2</v>
      </c>
      <c r="M24">
        <v>5.0671210000000001E-2</v>
      </c>
      <c r="R24">
        <v>5.0671210000000001E-2</v>
      </c>
      <c r="W24" s="9">
        <v>7.9997609999999997E-2</v>
      </c>
      <c r="AB24" s="9">
        <v>7.9997609999999997E-2</v>
      </c>
      <c r="AG24">
        <v>8.0597650000000007E-2</v>
      </c>
      <c r="AL24">
        <v>5.0671210000000001E-2</v>
      </c>
      <c r="AQ24" s="9">
        <v>7.9997609999999997E-2</v>
      </c>
    </row>
    <row r="26" spans="1:46">
      <c r="A26" s="1" t="s">
        <v>1</v>
      </c>
      <c r="B26" s="276" t="s">
        <v>23</v>
      </c>
      <c r="C26" s="8"/>
      <c r="D26" s="277" t="s">
        <v>89</v>
      </c>
      <c r="E26" s="277"/>
      <c r="F26" s="277"/>
      <c r="G26" s="278" t="s">
        <v>0</v>
      </c>
      <c r="H26" s="7"/>
      <c r="I26" s="277" t="s">
        <v>89</v>
      </c>
      <c r="J26" s="277"/>
      <c r="K26" s="277"/>
      <c r="L26" s="276" t="s">
        <v>24</v>
      </c>
      <c r="M26" s="8"/>
      <c r="N26" s="277" t="s">
        <v>89</v>
      </c>
      <c r="O26" s="277"/>
      <c r="P26" s="277"/>
      <c r="Q26" s="278" t="s">
        <v>0</v>
      </c>
      <c r="R26" s="7"/>
      <c r="S26" s="277" t="s">
        <v>89</v>
      </c>
      <c r="T26" s="277"/>
      <c r="U26" s="277"/>
      <c r="V26" s="276" t="s">
        <v>25</v>
      </c>
      <c r="W26" s="8"/>
      <c r="X26" s="277" t="s">
        <v>89</v>
      </c>
      <c r="Y26" s="277"/>
      <c r="Z26" s="277"/>
      <c r="AA26" s="278" t="s">
        <v>0</v>
      </c>
      <c r="AB26" s="7"/>
      <c r="AC26" s="277" t="s">
        <v>89</v>
      </c>
      <c r="AD26" s="277"/>
      <c r="AE26" s="277"/>
      <c r="AF26" s="278" t="s">
        <v>29</v>
      </c>
      <c r="AG26" s="7"/>
      <c r="AH26" s="277" t="s">
        <v>89</v>
      </c>
      <c r="AI26" s="277"/>
      <c r="AJ26" s="277"/>
      <c r="AK26" s="278" t="s">
        <v>28</v>
      </c>
      <c r="AL26" s="7"/>
      <c r="AM26" s="277" t="s">
        <v>89</v>
      </c>
      <c r="AN26" s="277"/>
      <c r="AO26" s="277"/>
      <c r="AP26" s="278" t="s">
        <v>27</v>
      </c>
      <c r="AQ26" s="7"/>
      <c r="AR26" s="277" t="s">
        <v>89</v>
      </c>
      <c r="AS26" s="277"/>
      <c r="AT26" s="277"/>
    </row>
    <row r="27" spans="1:46">
      <c r="A27" s="1" t="s">
        <v>2</v>
      </c>
      <c r="B27" s="276"/>
      <c r="C27" s="8"/>
      <c r="D27" s="2" t="s">
        <v>15</v>
      </c>
      <c r="E27" s="2" t="s">
        <v>16</v>
      </c>
      <c r="F27" s="2" t="s">
        <v>17</v>
      </c>
      <c r="G27" s="278"/>
      <c r="H27" s="7"/>
      <c r="I27" s="2" t="s">
        <v>15</v>
      </c>
      <c r="J27" s="2" t="s">
        <v>16</v>
      </c>
      <c r="K27" s="2" t="s">
        <v>17</v>
      </c>
      <c r="L27" s="276"/>
      <c r="M27" s="8"/>
      <c r="N27" s="2" t="s">
        <v>15</v>
      </c>
      <c r="O27" s="2" t="s">
        <v>16</v>
      </c>
      <c r="P27" s="2" t="s">
        <v>17</v>
      </c>
      <c r="Q27" s="278"/>
      <c r="R27" s="7"/>
      <c r="S27" s="2" t="s">
        <v>15</v>
      </c>
      <c r="T27" s="2" t="s">
        <v>16</v>
      </c>
      <c r="U27" s="2" t="s">
        <v>17</v>
      </c>
      <c r="V27" s="276"/>
      <c r="W27" s="8"/>
      <c r="X27" s="2" t="s">
        <v>15</v>
      </c>
      <c r="Y27" s="2" t="s">
        <v>16</v>
      </c>
      <c r="Z27" s="2" t="s">
        <v>17</v>
      </c>
      <c r="AA27" s="278"/>
      <c r="AB27" s="7"/>
      <c r="AC27" s="2" t="s">
        <v>15</v>
      </c>
      <c r="AD27" s="2" t="s">
        <v>16</v>
      </c>
      <c r="AE27" s="2" t="s">
        <v>17</v>
      </c>
      <c r="AF27" s="278"/>
      <c r="AG27" s="7"/>
      <c r="AH27" s="2" t="s">
        <v>15</v>
      </c>
      <c r="AI27" s="2" t="s">
        <v>16</v>
      </c>
      <c r="AJ27" s="2" t="s">
        <v>17</v>
      </c>
      <c r="AK27" s="278"/>
      <c r="AL27" s="7"/>
      <c r="AM27" s="2" t="s">
        <v>15</v>
      </c>
      <c r="AN27" s="2" t="s">
        <v>16</v>
      </c>
      <c r="AO27" s="2" t="s">
        <v>17</v>
      </c>
      <c r="AP27" s="278"/>
      <c r="AQ27" s="7"/>
      <c r="AR27" s="2" t="s">
        <v>15</v>
      </c>
      <c r="AS27" s="2" t="s">
        <v>16</v>
      </c>
      <c r="AT27" s="2" t="s">
        <v>17</v>
      </c>
    </row>
    <row r="28" spans="1:46">
      <c r="B28" t="s">
        <v>88</v>
      </c>
      <c r="C28" t="s">
        <v>26</v>
      </c>
      <c r="G28" t="s">
        <v>88</v>
      </c>
      <c r="H28" t="s">
        <v>26</v>
      </c>
      <c r="L28" t="s">
        <v>88</v>
      </c>
      <c r="M28" t="s">
        <v>26</v>
      </c>
      <c r="Q28" t="s">
        <v>88</v>
      </c>
      <c r="R28" t="s">
        <v>26</v>
      </c>
      <c r="V28" t="s">
        <v>88</v>
      </c>
      <c r="W28" t="s">
        <v>26</v>
      </c>
      <c r="AA28" t="s">
        <v>88</v>
      </c>
      <c r="AB28" t="s">
        <v>26</v>
      </c>
      <c r="AF28" t="s">
        <v>88</v>
      </c>
      <c r="AG28" t="s">
        <v>26</v>
      </c>
      <c r="AK28" t="s">
        <v>88</v>
      </c>
      <c r="AL28" t="s">
        <v>26</v>
      </c>
      <c r="AP28" t="s">
        <v>88</v>
      </c>
      <c r="AQ28" t="s">
        <v>26</v>
      </c>
    </row>
    <row r="29" spans="1:46">
      <c r="A29" t="s">
        <v>3</v>
      </c>
      <c r="B29">
        <v>3</v>
      </c>
      <c r="C29" s="10">
        <f>C4-$C$24</f>
        <v>2.3640499999999925E-3</v>
      </c>
      <c r="D29" s="10"/>
      <c r="E29" s="10"/>
      <c r="F29" s="13">
        <f t="shared" ref="F29:F39" si="15">F4</f>
        <v>6.94444444444553E-5</v>
      </c>
      <c r="G29" s="198">
        <v>1</v>
      </c>
      <c r="H29" s="10">
        <f t="shared" ref="H29:H39" si="16">H4-$H$24</f>
        <v>1.0050689999999987E-2</v>
      </c>
      <c r="I29" s="10"/>
      <c r="J29" s="10"/>
      <c r="K29" s="13">
        <f t="shared" ref="K29:K39" si="17">K4</f>
        <v>1.2731481481481621E-4</v>
      </c>
      <c r="L29">
        <v>2</v>
      </c>
      <c r="M29" s="10">
        <f>M4-$M$24</f>
        <v>9.0287900000000018E-3</v>
      </c>
      <c r="N29" s="10"/>
      <c r="O29" s="10"/>
      <c r="P29" s="13">
        <f>P4</f>
        <v>3.1249999999999334E-4</v>
      </c>
      <c r="Q29" s="198">
        <v>1</v>
      </c>
      <c r="R29" s="10">
        <f>R4-$R$24</f>
        <v>1.414180000000001E-3</v>
      </c>
      <c r="U29" s="13">
        <f>U4</f>
        <v>1.388888888889106E-4</v>
      </c>
      <c r="V29">
        <v>2</v>
      </c>
      <c r="W29" s="10">
        <f>W4-$W$24</f>
        <v>9.3553000000000386E-4</v>
      </c>
      <c r="Z29" s="13">
        <f>Z4</f>
        <v>4.6296296296322037E-5</v>
      </c>
      <c r="AA29" s="198">
        <v>1</v>
      </c>
      <c r="AB29" s="10">
        <f>AB4-$AB$24</f>
        <v>2.0193080000000002E-2</v>
      </c>
      <c r="AE29" s="13">
        <f>AE4</f>
        <v>1.388888888889106E-4</v>
      </c>
      <c r="AF29">
        <v>1</v>
      </c>
      <c r="AG29" s="10">
        <f>AG4-$AG$24</f>
        <v>1.0523499999999936E-3</v>
      </c>
      <c r="AH29" s="10"/>
      <c r="AI29" s="10"/>
      <c r="AJ29" s="13">
        <f>AJ4</f>
        <v>6.94444444444553E-5</v>
      </c>
      <c r="AK29">
        <v>2</v>
      </c>
      <c r="AL29" s="10">
        <f>AL4-$AL$24</f>
        <v>6.3577900000000021E-3</v>
      </c>
      <c r="AM29" s="10"/>
      <c r="AN29" s="10"/>
      <c r="AO29" s="13">
        <f>AO4</f>
        <v>6.94444444444553E-5</v>
      </c>
      <c r="AP29">
        <v>1</v>
      </c>
      <c r="AQ29" s="10">
        <f>AQ4-$AQ$24</f>
        <v>1.9873900000000055E-3</v>
      </c>
      <c r="AT29" s="13">
        <f>AT4</f>
        <v>4.6296296296266526E-5</v>
      </c>
    </row>
    <row r="30" spans="1:46">
      <c r="A30" t="s">
        <v>4</v>
      </c>
      <c r="B30">
        <v>2</v>
      </c>
      <c r="C30" s="10">
        <f t="shared" ref="C30:C39" si="18">C5-$C$24</f>
        <v>1.1916299999999991E-3</v>
      </c>
      <c r="D30" s="10"/>
      <c r="E30" s="10"/>
      <c r="F30" s="13">
        <f t="shared" si="15"/>
        <v>1.8518518518517713E-4</v>
      </c>
      <c r="G30" s="198">
        <v>6</v>
      </c>
      <c r="H30" s="10">
        <f t="shared" si="16"/>
        <v>3.470703E-2</v>
      </c>
      <c r="I30" s="10"/>
      <c r="J30" s="10"/>
      <c r="K30" s="13">
        <f t="shared" si="17"/>
        <v>2.3148148148149916E-4</v>
      </c>
      <c r="L30" s="275">
        <v>0</v>
      </c>
      <c r="M30" s="10">
        <f t="shared" ref="M30:M39" si="19">M5-$M$24</f>
        <v>1.8026949999999993E-2</v>
      </c>
      <c r="N30" s="10"/>
      <c r="O30" s="10"/>
      <c r="P30" s="13">
        <f t="shared" ref="P30:P39" si="20">P5</f>
        <v>9.2592592592644074E-5</v>
      </c>
      <c r="Q30" s="198">
        <v>1</v>
      </c>
      <c r="R30" s="10">
        <f t="shared" ref="R30:R39" si="21">R5-$R$24</f>
        <v>2.2614649999999993E-2</v>
      </c>
      <c r="U30" s="13">
        <f t="shared" ref="U30:U39" si="22">U5</f>
        <v>1.1574074074072183E-4</v>
      </c>
      <c r="V30">
        <v>3</v>
      </c>
      <c r="W30" s="10">
        <f t="shared" ref="W30:W39" si="23">W5-$W$24</f>
        <v>5.5589999999999806E-4</v>
      </c>
      <c r="Z30" s="13">
        <f t="shared" ref="Z30:Z39" si="24">Z5</f>
        <v>4.6296296296322037E-5</v>
      </c>
      <c r="AA30" s="198">
        <v>4</v>
      </c>
      <c r="AB30" s="10">
        <f t="shared" ref="AB30:AB39" si="25">AB5-$AB$24</f>
        <v>1.802115E-2</v>
      </c>
      <c r="AE30" s="13">
        <f t="shared" ref="AE30:AE39" si="26">AE5</f>
        <v>1.9675925925927151E-4</v>
      </c>
      <c r="AF30">
        <v>2</v>
      </c>
      <c r="AG30" s="10">
        <f t="shared" ref="AG30:AG39" si="27">AG5-$AG$24</f>
        <v>9.3579899999999966E-3</v>
      </c>
      <c r="AH30" s="10"/>
      <c r="AI30" s="10"/>
      <c r="AJ30" s="13">
        <f t="shared" ref="AJ30:AJ39" si="28">AJ5</f>
        <v>1.1574074074072183E-4</v>
      </c>
      <c r="AK30">
        <v>3</v>
      </c>
      <c r="AL30" s="10">
        <f t="shared" ref="AL30:AL39" si="29">AL5-$AL$24</f>
        <v>1.7525320000000004E-2</v>
      </c>
      <c r="AM30" s="10"/>
      <c r="AN30" s="10"/>
      <c r="AO30" s="13">
        <f t="shared" ref="AO30:AO39" si="30">AO5</f>
        <v>1.5046296296300499E-4</v>
      </c>
      <c r="AP30">
        <v>2</v>
      </c>
      <c r="AQ30" s="10">
        <f t="shared" ref="AQ30:AQ39" si="31">AQ5-$AQ$24</f>
        <v>1.967690000000008E-3</v>
      </c>
      <c r="AT30" s="13">
        <f t="shared" ref="AT30:AT39" si="32">AT5</f>
        <v>8.1018518518549687E-5</v>
      </c>
    </row>
    <row r="31" spans="1:46">
      <c r="A31" t="s">
        <v>5</v>
      </c>
      <c r="B31">
        <v>3</v>
      </c>
      <c r="C31" s="10">
        <f t="shared" si="18"/>
        <v>1.3754029999999987E-2</v>
      </c>
      <c r="D31" s="10"/>
      <c r="E31" s="10"/>
      <c r="F31" s="13">
        <f t="shared" si="15"/>
        <v>3.472222222222765E-5</v>
      </c>
      <c r="G31" s="198">
        <v>2</v>
      </c>
      <c r="H31" s="10">
        <f t="shared" si="16"/>
        <v>6.1641499999999932E-3</v>
      </c>
      <c r="I31" s="10"/>
      <c r="J31" s="10"/>
      <c r="K31" s="13">
        <f t="shared" si="17"/>
        <v>1.9675925925927151E-4</v>
      </c>
      <c r="L31">
        <v>1</v>
      </c>
      <c r="M31" s="10">
        <f t="shared" si="19"/>
        <v>2.8219000000000161E-4</v>
      </c>
      <c r="N31" s="10"/>
      <c r="O31" s="10"/>
      <c r="P31" s="13">
        <f t="shared" si="20"/>
        <v>1.388888888889106E-4</v>
      </c>
      <c r="Q31" s="198">
        <v>1</v>
      </c>
      <c r="R31" s="10">
        <f t="shared" si="21"/>
        <v>7.1925600000000006E-3</v>
      </c>
      <c r="U31" s="13">
        <f t="shared" si="22"/>
        <v>1.3888888888885509E-4</v>
      </c>
      <c r="V31">
        <v>1</v>
      </c>
      <c r="W31" s="10">
        <f t="shared" si="23"/>
        <v>3.228120000000001E-3</v>
      </c>
      <c r="Z31" s="13">
        <f t="shared" si="24"/>
        <v>5.7870370370416424E-5</v>
      </c>
      <c r="AA31" s="198">
        <v>1</v>
      </c>
      <c r="AB31" s="10">
        <f t="shared" si="25"/>
        <v>1.8043000000000919E-4</v>
      </c>
      <c r="AE31" s="13">
        <f t="shared" si="26"/>
        <v>1.2731481481481621E-4</v>
      </c>
      <c r="AF31">
        <v>3</v>
      </c>
      <c r="AG31" s="10">
        <f t="shared" si="27"/>
        <v>1.9628599999999968E-3</v>
      </c>
      <c r="AH31" s="10"/>
      <c r="AI31" s="10"/>
      <c r="AJ31" s="13">
        <f t="shared" si="28"/>
        <v>1.1574074074072183E-4</v>
      </c>
      <c r="AK31">
        <v>2</v>
      </c>
      <c r="AL31" s="10">
        <f t="shared" si="29"/>
        <v>9.0649999999997677E-5</v>
      </c>
      <c r="AM31" s="10"/>
      <c r="AN31" s="10"/>
      <c r="AO31" s="13">
        <f t="shared" si="30"/>
        <v>9.2592592592533052E-5</v>
      </c>
      <c r="AP31">
        <v>1</v>
      </c>
      <c r="AQ31" s="10">
        <f t="shared" si="31"/>
        <v>2.5629000000000068E-3</v>
      </c>
      <c r="AT31" s="13">
        <f t="shared" si="32"/>
        <v>5.7870370370305402E-5</v>
      </c>
    </row>
    <row r="32" spans="1:46">
      <c r="A32" t="s">
        <v>6</v>
      </c>
      <c r="B32">
        <v>3</v>
      </c>
      <c r="C32" s="10">
        <f t="shared" si="18"/>
        <v>2.6131099999999879E-3</v>
      </c>
      <c r="D32" s="10"/>
      <c r="E32" s="10"/>
      <c r="F32" s="13">
        <f t="shared" si="15"/>
        <v>2.4305555555553804E-4</v>
      </c>
      <c r="G32" s="198">
        <v>1</v>
      </c>
      <c r="H32" s="10">
        <f t="shared" si="16"/>
        <v>1.009699E-2</v>
      </c>
      <c r="I32" s="10"/>
      <c r="J32" s="10"/>
      <c r="K32" s="13">
        <f t="shared" si="17"/>
        <v>6.94444444444553E-5</v>
      </c>
      <c r="L32">
        <v>1</v>
      </c>
      <c r="M32" s="10">
        <f t="shared" si="19"/>
        <v>3.3335780000000002E-2</v>
      </c>
      <c r="N32" s="10"/>
      <c r="O32" s="10"/>
      <c r="P32" s="13">
        <f t="shared" si="20"/>
        <v>1.1574074074072183E-4</v>
      </c>
      <c r="Q32" s="198">
        <v>1</v>
      </c>
      <c r="R32" s="10">
        <f t="shared" si="21"/>
        <v>1.1209819999999995E-2</v>
      </c>
      <c r="U32" s="13">
        <f t="shared" si="22"/>
        <v>6.94444444444553E-5</v>
      </c>
      <c r="V32">
        <v>5</v>
      </c>
      <c r="W32" s="10">
        <f t="shared" si="23"/>
        <v>3.7190000000000834E-4</v>
      </c>
      <c r="Z32" s="13">
        <f t="shared" si="24"/>
        <v>5.7870370370305402E-5</v>
      </c>
      <c r="AA32" s="198">
        <v>1</v>
      </c>
      <c r="AB32" s="10">
        <f t="shared" si="25"/>
        <v>1.0281280000000004E-2</v>
      </c>
      <c r="AE32" s="13">
        <f t="shared" si="26"/>
        <v>9.2592592592588563E-5</v>
      </c>
      <c r="AF32">
        <v>1</v>
      </c>
      <c r="AG32" s="10">
        <f t="shared" si="27"/>
        <v>9.1957099999999958E-3</v>
      </c>
      <c r="AH32" s="10"/>
      <c r="AI32" s="10"/>
      <c r="AJ32" s="13">
        <f t="shared" si="28"/>
        <v>1.7361111111113825E-4</v>
      </c>
      <c r="AK32">
        <v>3</v>
      </c>
      <c r="AL32" s="10">
        <f t="shared" si="29"/>
        <v>6.2146900000000019E-3</v>
      </c>
      <c r="AM32" s="10"/>
      <c r="AN32" s="10"/>
      <c r="AO32" s="13">
        <f t="shared" si="30"/>
        <v>6.94444444444553E-5</v>
      </c>
      <c r="AP32">
        <v>1</v>
      </c>
      <c r="AQ32" s="10">
        <f t="shared" si="31"/>
        <v>1.0616520000000004E-2</v>
      </c>
      <c r="AT32" s="13">
        <f t="shared" si="32"/>
        <v>5.7870370370305402E-5</v>
      </c>
    </row>
    <row r="33" spans="1:46">
      <c r="A33" t="s">
        <v>7</v>
      </c>
      <c r="B33">
        <v>2</v>
      </c>
      <c r="C33" s="10">
        <f t="shared" si="18"/>
        <v>2.5012499999999965E-3</v>
      </c>
      <c r="D33" s="10"/>
      <c r="E33" s="10"/>
      <c r="F33" s="13">
        <f t="shared" si="15"/>
        <v>1.0416666666662744E-4</v>
      </c>
      <c r="G33" s="198">
        <v>3</v>
      </c>
      <c r="H33" s="10">
        <f t="shared" si="16"/>
        <v>1.5881709999999993E-2</v>
      </c>
      <c r="I33" s="10"/>
      <c r="J33" s="10"/>
      <c r="K33" s="13">
        <f t="shared" si="17"/>
        <v>1.9675925925927151E-4</v>
      </c>
      <c r="L33">
        <v>2</v>
      </c>
      <c r="M33" s="10">
        <f t="shared" si="19"/>
        <v>2.6302199999999956E-3</v>
      </c>
      <c r="N33" s="10"/>
      <c r="O33" s="10"/>
      <c r="P33" s="13">
        <f t="shared" si="20"/>
        <v>8.1018518518549687E-5</v>
      </c>
      <c r="Q33" s="198">
        <v>1</v>
      </c>
      <c r="R33" s="10">
        <f t="shared" si="21"/>
        <v>1.1049469999999999E-2</v>
      </c>
      <c r="U33" s="13">
        <f t="shared" si="22"/>
        <v>1.1574074074072183E-4</v>
      </c>
      <c r="V33">
        <v>3</v>
      </c>
      <c r="W33" s="10">
        <f t="shared" si="23"/>
        <v>1.5211100000000061E-3</v>
      </c>
      <c r="Z33" s="13">
        <f t="shared" si="24"/>
        <v>9.2592592592588563E-5</v>
      </c>
      <c r="AA33" s="198">
        <v>2</v>
      </c>
      <c r="AB33" s="10">
        <f t="shared" si="25"/>
        <v>3.487744000000001E-2</v>
      </c>
      <c r="AE33" s="13">
        <f t="shared" si="26"/>
        <v>1.7361111111108274E-4</v>
      </c>
      <c r="AF33">
        <v>2</v>
      </c>
      <c r="AG33" s="10">
        <f t="shared" si="27"/>
        <v>2.0168299999999972E-3</v>
      </c>
      <c r="AH33" s="10"/>
      <c r="AI33" s="10"/>
      <c r="AJ33" s="13">
        <f t="shared" si="28"/>
        <v>1.8518518518523264E-4</v>
      </c>
      <c r="AK33">
        <v>4</v>
      </c>
      <c r="AL33" s="10">
        <f t="shared" si="29"/>
        <v>3.7912999999999836E-4</v>
      </c>
      <c r="AM33" s="10"/>
      <c r="AN33" s="10"/>
      <c r="AO33" s="13">
        <f t="shared" si="30"/>
        <v>8.1018518518494176E-5</v>
      </c>
      <c r="AP33">
        <v>2</v>
      </c>
      <c r="AQ33" s="10">
        <f t="shared" si="31"/>
        <v>6.0273000000000965E-4</v>
      </c>
      <c r="AT33" s="13">
        <f t="shared" si="32"/>
        <v>6.94444444444553E-5</v>
      </c>
    </row>
    <row r="34" spans="1:46">
      <c r="A34" t="s">
        <v>8</v>
      </c>
      <c r="B34">
        <v>2</v>
      </c>
      <c r="C34" s="10">
        <f t="shared" si="18"/>
        <v>2.0021999999999956E-3</v>
      </c>
      <c r="D34" s="10"/>
      <c r="E34" s="10"/>
      <c r="F34" s="13">
        <f t="shared" si="15"/>
        <v>1.1574074074072183E-4</v>
      </c>
      <c r="G34" s="198">
        <v>1</v>
      </c>
      <c r="H34" s="10">
        <f t="shared" si="16"/>
        <v>7.5922099999999881E-3</v>
      </c>
      <c r="I34" s="10"/>
      <c r="J34" s="10"/>
      <c r="K34" s="13">
        <f t="shared" si="17"/>
        <v>8.1018518518549687E-5</v>
      </c>
      <c r="L34">
        <v>1</v>
      </c>
      <c r="M34" s="10">
        <f t="shared" si="19"/>
        <v>1.8821170000000005E-2</v>
      </c>
      <c r="N34" s="10"/>
      <c r="O34" s="10"/>
      <c r="P34" s="13">
        <f t="shared" si="20"/>
        <v>2.3148148148188774E-5</v>
      </c>
      <c r="Q34" s="198">
        <v>1</v>
      </c>
      <c r="R34" s="10">
        <f t="shared" si="21"/>
        <v>1.0145460000000002E-2</v>
      </c>
      <c r="U34" s="13">
        <f t="shared" si="22"/>
        <v>5.7870370370360913E-5</v>
      </c>
      <c r="V34">
        <v>1</v>
      </c>
      <c r="W34" s="10">
        <f t="shared" si="23"/>
        <v>1.3566000000000966E-4</v>
      </c>
      <c r="Z34" s="13">
        <f t="shared" si="24"/>
        <v>4.6296296296266526E-5</v>
      </c>
      <c r="AA34" s="198">
        <v>1</v>
      </c>
      <c r="AB34" s="10">
        <f t="shared" si="25"/>
        <v>1.1013759999999997E-2</v>
      </c>
      <c r="AE34" s="13">
        <f t="shared" si="26"/>
        <v>1.0416666666662744E-4</v>
      </c>
      <c r="AF34">
        <v>1</v>
      </c>
      <c r="AG34" s="10">
        <f t="shared" si="27"/>
        <v>4.7606999999999511E-4</v>
      </c>
      <c r="AH34" s="10"/>
      <c r="AI34" s="10"/>
      <c r="AJ34" s="13">
        <f t="shared" si="28"/>
        <v>4.6296296296266526E-5</v>
      </c>
      <c r="AK34">
        <v>1</v>
      </c>
      <c r="AL34" s="10">
        <f t="shared" si="29"/>
        <v>9.0767799999999996E-3</v>
      </c>
      <c r="AM34" s="10"/>
      <c r="AN34" s="10"/>
      <c r="AO34" s="13">
        <f t="shared" si="30"/>
        <v>4.6296296296377548E-5</v>
      </c>
      <c r="AP34">
        <v>1</v>
      </c>
      <c r="AQ34" s="10">
        <f t="shared" si="31"/>
        <v>2.2845800000000083E-3</v>
      </c>
      <c r="AT34" s="13">
        <f t="shared" si="32"/>
        <v>3.472222222222765E-5</v>
      </c>
    </row>
    <row r="35" spans="1:46">
      <c r="A35" t="s">
        <v>9</v>
      </c>
      <c r="B35">
        <v>3</v>
      </c>
      <c r="C35" s="10">
        <f t="shared" si="18"/>
        <v>5.6743199999999966E-3</v>
      </c>
      <c r="D35" s="10"/>
      <c r="E35" s="10"/>
      <c r="F35" s="13">
        <f t="shared" si="15"/>
        <v>2.1990740740740478E-4</v>
      </c>
      <c r="G35" s="198">
        <v>3</v>
      </c>
      <c r="H35" s="10">
        <f t="shared" si="16"/>
        <v>2.6791049999999997E-2</v>
      </c>
      <c r="I35" s="10"/>
      <c r="J35" s="10"/>
      <c r="K35" s="13">
        <f t="shared" si="17"/>
        <v>1.7361111111108274E-4</v>
      </c>
      <c r="L35">
        <v>1</v>
      </c>
      <c r="M35" s="10">
        <f t="shared" si="19"/>
        <v>1.6362590000000003E-2</v>
      </c>
      <c r="N35" s="10"/>
      <c r="O35" s="10"/>
      <c r="P35" s="13">
        <f t="shared" si="20"/>
        <v>8.1018518518494176E-5</v>
      </c>
      <c r="Q35" s="198">
        <v>1</v>
      </c>
      <c r="R35" s="10">
        <f t="shared" si="21"/>
        <v>3.4359359999999999E-2</v>
      </c>
      <c r="U35" s="13">
        <f t="shared" si="22"/>
        <v>1.1574074074072183E-4</v>
      </c>
      <c r="V35">
        <v>2</v>
      </c>
      <c r="W35" s="10">
        <f t="shared" si="23"/>
        <v>1.2586000000000541E-4</v>
      </c>
      <c r="Z35" s="13">
        <f t="shared" si="24"/>
        <v>2.3148148148188774E-5</v>
      </c>
      <c r="AA35" s="198">
        <v>3</v>
      </c>
      <c r="AB35" s="10">
        <f t="shared" si="25"/>
        <v>1.2709800000000049E-3</v>
      </c>
      <c r="AE35" s="13">
        <f t="shared" si="26"/>
        <v>5.7870370370360913E-5</v>
      </c>
      <c r="AF35">
        <v>2</v>
      </c>
      <c r="AG35" s="10">
        <f t="shared" si="27"/>
        <v>1.2403399999999926E-3</v>
      </c>
      <c r="AH35" s="10"/>
      <c r="AI35" s="10"/>
      <c r="AJ35" s="13">
        <f t="shared" si="28"/>
        <v>4.6296296296266526E-5</v>
      </c>
      <c r="AK35">
        <v>1</v>
      </c>
      <c r="AL35" s="10">
        <f t="shared" si="29"/>
        <v>1.515557E-2</v>
      </c>
      <c r="AM35" s="10"/>
      <c r="AN35" s="10"/>
      <c r="AO35" s="13">
        <f t="shared" si="30"/>
        <v>6.94444444444553E-5</v>
      </c>
      <c r="AP35">
        <v>1</v>
      </c>
      <c r="AQ35" s="10">
        <f t="shared" si="31"/>
        <v>5.7012200000000068E-3</v>
      </c>
      <c r="AT35" s="13">
        <f t="shared" si="32"/>
        <v>4.6296296296266526E-5</v>
      </c>
    </row>
    <row r="36" spans="1:46">
      <c r="A36" t="s">
        <v>10</v>
      </c>
      <c r="B36">
        <v>4</v>
      </c>
      <c r="C36" s="10">
        <f t="shared" si="18"/>
        <v>2.0976249999999988E-2</v>
      </c>
      <c r="D36" s="10"/>
      <c r="E36" s="10"/>
      <c r="F36" s="13">
        <f t="shared" si="15"/>
        <v>2.8935185185186008E-4</v>
      </c>
      <c r="G36" s="198">
        <v>2</v>
      </c>
      <c r="H36" s="10">
        <f t="shared" si="16"/>
        <v>5.3736199999999956E-3</v>
      </c>
      <c r="I36" s="10"/>
      <c r="J36" s="10"/>
      <c r="K36" s="13">
        <f t="shared" si="17"/>
        <v>1.0416666666668295E-4</v>
      </c>
      <c r="L36">
        <v>3</v>
      </c>
      <c r="M36" s="10">
        <f t="shared" si="19"/>
        <v>4.5931999999999917E-4</v>
      </c>
      <c r="N36" s="10"/>
      <c r="O36" s="10"/>
      <c r="P36" s="13">
        <f t="shared" si="20"/>
        <v>9.2592592592533052E-5</v>
      </c>
      <c r="Q36" s="198">
        <v>4</v>
      </c>
      <c r="R36" s="10">
        <f t="shared" si="21"/>
        <v>1.0095380000000001E-2</v>
      </c>
      <c r="U36" s="13">
        <f t="shared" si="22"/>
        <v>9.2592592592588563E-5</v>
      </c>
      <c r="V36">
        <v>1</v>
      </c>
      <c r="W36" s="10">
        <f t="shared" si="23"/>
        <v>6.9284900000000094E-3</v>
      </c>
      <c r="Z36" s="13">
        <f t="shared" si="24"/>
        <v>2.3148148148077752E-5</v>
      </c>
      <c r="AA36" s="198">
        <v>1</v>
      </c>
      <c r="AB36" s="10">
        <f t="shared" si="25"/>
        <v>1.1601449999999999E-2</v>
      </c>
      <c r="AE36" s="13">
        <f t="shared" si="26"/>
        <v>1.0416666666668295E-4</v>
      </c>
      <c r="AF36">
        <v>1</v>
      </c>
      <c r="AG36" s="10">
        <f t="shared" si="27"/>
        <v>3.0724199999999924E-3</v>
      </c>
      <c r="AH36" s="10"/>
      <c r="AI36" s="10"/>
      <c r="AJ36" s="13">
        <f t="shared" si="28"/>
        <v>3.472222222222765E-5</v>
      </c>
      <c r="AK36">
        <v>1</v>
      </c>
      <c r="AL36" s="10">
        <f t="shared" si="29"/>
        <v>9.3429999999998514E-5</v>
      </c>
      <c r="AM36" s="10"/>
      <c r="AN36" s="10"/>
      <c r="AO36" s="13">
        <f t="shared" si="30"/>
        <v>3.472222222222765E-5</v>
      </c>
      <c r="AP36">
        <v>1</v>
      </c>
      <c r="AQ36" s="10">
        <f t="shared" si="31"/>
        <v>1.8001799999999984E-3</v>
      </c>
      <c r="AT36" s="13">
        <f t="shared" si="32"/>
        <v>3.472222222222765E-5</v>
      </c>
    </row>
    <row r="37" spans="1:46">
      <c r="A37" t="s">
        <v>11</v>
      </c>
      <c r="B37">
        <v>1</v>
      </c>
      <c r="C37" s="10">
        <f t="shared" si="18"/>
        <v>2.6655599999999974E-3</v>
      </c>
      <c r="D37" s="10"/>
      <c r="E37" s="10"/>
      <c r="F37" s="13">
        <f t="shared" si="15"/>
        <v>1.273148148147607E-4</v>
      </c>
      <c r="G37" s="198">
        <v>2</v>
      </c>
      <c r="H37" s="10">
        <f t="shared" si="16"/>
        <v>2.5111749999999988E-2</v>
      </c>
      <c r="I37" s="10"/>
      <c r="J37" s="10"/>
      <c r="K37" s="13">
        <f t="shared" si="17"/>
        <v>2.4305555555559355E-4</v>
      </c>
      <c r="L37">
        <v>1</v>
      </c>
      <c r="M37" s="10">
        <f t="shared" si="19"/>
        <v>3.2332000000000194E-4</v>
      </c>
      <c r="N37" s="10"/>
      <c r="O37" s="10"/>
      <c r="P37" s="13">
        <f t="shared" si="20"/>
        <v>1.273148148147607E-4</v>
      </c>
      <c r="Q37" s="198">
        <v>2</v>
      </c>
      <c r="R37" s="10">
        <f t="shared" si="21"/>
        <v>8.8681099999999985E-3</v>
      </c>
      <c r="U37" s="13">
        <f t="shared" si="22"/>
        <v>1.1574074074072183E-4</v>
      </c>
      <c r="V37">
        <v>1</v>
      </c>
      <c r="W37" s="10">
        <f t="shared" si="23"/>
        <v>1.6083900000000012E-3</v>
      </c>
      <c r="Z37" s="13">
        <f t="shared" si="24"/>
        <v>9.2592592592533052E-5</v>
      </c>
      <c r="AA37" s="198">
        <v>2</v>
      </c>
      <c r="AB37" s="10">
        <f t="shared" si="25"/>
        <v>2.021713E-2</v>
      </c>
      <c r="AE37" s="13">
        <f t="shared" si="26"/>
        <v>1.1574074074083285E-4</v>
      </c>
      <c r="AF37">
        <v>1</v>
      </c>
      <c r="AG37" s="10">
        <f t="shared" si="27"/>
        <v>1.5135999999998928E-4</v>
      </c>
      <c r="AH37" s="10"/>
      <c r="AI37" s="10"/>
      <c r="AJ37" s="13">
        <f t="shared" si="28"/>
        <v>1.273148148147607E-4</v>
      </c>
      <c r="AK37">
        <v>1</v>
      </c>
      <c r="AL37" s="10">
        <f t="shared" si="29"/>
        <v>2.0696299999999959E-3</v>
      </c>
      <c r="AM37" s="10"/>
      <c r="AN37" s="10"/>
      <c r="AO37" s="13">
        <f t="shared" si="30"/>
        <v>1.0416666666668295E-4</v>
      </c>
      <c r="AP37">
        <v>1</v>
      </c>
      <c r="AQ37" s="10">
        <f t="shared" si="31"/>
        <v>1.679220000000009E-3</v>
      </c>
      <c r="AT37" s="13">
        <f t="shared" si="32"/>
        <v>3.472222222222765E-5</v>
      </c>
    </row>
    <row r="38" spans="1:46">
      <c r="A38" t="s">
        <v>12</v>
      </c>
      <c r="B38">
        <v>3</v>
      </c>
      <c r="C38" s="10">
        <f t="shared" si="18"/>
        <v>2.3640499999999925E-3</v>
      </c>
      <c r="D38" s="10"/>
      <c r="E38" s="10"/>
      <c r="F38" s="13">
        <f t="shared" si="15"/>
        <v>6.94444444444553E-5</v>
      </c>
      <c r="G38" s="198">
        <v>1</v>
      </c>
      <c r="H38" s="10">
        <f t="shared" si="16"/>
        <v>6.1704999999999399E-4</v>
      </c>
      <c r="I38" s="10"/>
      <c r="J38" s="10"/>
      <c r="K38" s="13">
        <f t="shared" si="17"/>
        <v>9.2592592592588563E-5</v>
      </c>
      <c r="L38">
        <v>3</v>
      </c>
      <c r="M38" s="10">
        <f t="shared" si="19"/>
        <v>4.3987000000000193E-4</v>
      </c>
      <c r="N38" s="10"/>
      <c r="O38" s="10"/>
      <c r="P38" s="13">
        <f t="shared" si="20"/>
        <v>1.273148148147607E-4</v>
      </c>
      <c r="Q38" s="198">
        <v>1</v>
      </c>
      <c r="R38" s="10">
        <f t="shared" si="21"/>
        <v>7.1390599999999957E-3</v>
      </c>
      <c r="U38" s="13">
        <f t="shared" si="22"/>
        <v>9.2592592592588563E-5</v>
      </c>
      <c r="V38">
        <v>1</v>
      </c>
      <c r="W38" s="10">
        <f t="shared" si="23"/>
        <v>1.8076000000000203E-4</v>
      </c>
      <c r="Z38" s="13">
        <f t="shared" si="24"/>
        <v>3.472222222222765E-5</v>
      </c>
      <c r="AA38" s="198">
        <v>1</v>
      </c>
      <c r="AB38" s="10">
        <f t="shared" si="25"/>
        <v>6.9219000000000919E-4</v>
      </c>
      <c r="AE38" s="13">
        <f t="shared" si="26"/>
        <v>5.7870370370360913E-5</v>
      </c>
      <c r="AF38" s="275">
        <v>2</v>
      </c>
      <c r="AG38" s="10">
        <f t="shared" si="27"/>
        <v>2.4188599999999949E-3</v>
      </c>
      <c r="AH38" s="10"/>
      <c r="AI38" s="10"/>
      <c r="AJ38" s="13">
        <f t="shared" si="28"/>
        <v>5.7870370370305402E-5</v>
      </c>
      <c r="AK38">
        <v>2</v>
      </c>
      <c r="AL38" s="10">
        <f t="shared" si="29"/>
        <v>8.0745999999999596E-4</v>
      </c>
      <c r="AM38" s="10"/>
      <c r="AN38" s="10"/>
      <c r="AO38" s="13">
        <f t="shared" si="30"/>
        <v>9.2592592592533052E-5</v>
      </c>
      <c r="AP38">
        <v>2</v>
      </c>
      <c r="AQ38" s="10">
        <f t="shared" si="31"/>
        <v>1.8827000000000427E-4</v>
      </c>
      <c r="AT38" s="13">
        <f t="shared" si="32"/>
        <v>3.472222222222765E-5</v>
      </c>
    </row>
    <row r="39" spans="1:46">
      <c r="A39" t="s">
        <v>13</v>
      </c>
      <c r="B39">
        <v>2</v>
      </c>
      <c r="C39" s="10">
        <f t="shared" si="18"/>
        <v>4.7850999999998756E-4</v>
      </c>
      <c r="F39" s="13">
        <f t="shared" si="15"/>
        <v>1.7361111111113825E-4</v>
      </c>
      <c r="G39" s="198">
        <v>1</v>
      </c>
      <c r="H39" s="10">
        <f t="shared" si="16"/>
        <v>3.0805349999999995E-2</v>
      </c>
      <c r="K39" s="13">
        <f t="shared" si="17"/>
        <v>6.94444444444553E-5</v>
      </c>
      <c r="L39">
        <v>1</v>
      </c>
      <c r="M39" s="10">
        <f t="shared" si="19"/>
        <v>4.8996099999999987E-3</v>
      </c>
      <c r="N39" s="10"/>
      <c r="O39" s="10"/>
      <c r="P39" s="13">
        <f t="shared" si="20"/>
        <v>2.5462962962963243E-4</v>
      </c>
      <c r="Q39" s="198">
        <v>1</v>
      </c>
      <c r="R39" s="10">
        <f t="shared" si="21"/>
        <v>1.6336040000000003E-2</v>
      </c>
      <c r="U39" s="13">
        <f t="shared" si="22"/>
        <v>1.1574074074072183E-4</v>
      </c>
      <c r="V39">
        <v>1</v>
      </c>
      <c r="W39" s="10">
        <f t="shared" si="23"/>
        <v>3.1300400000000006E-3</v>
      </c>
      <c r="Z39" s="13">
        <f t="shared" si="24"/>
        <v>9.2592592592644074E-5</v>
      </c>
      <c r="AA39" s="198">
        <v>1</v>
      </c>
      <c r="AB39" s="10">
        <f t="shared" si="25"/>
        <v>5.2527600000000091E-3</v>
      </c>
      <c r="AE39" s="13">
        <f t="shared" si="26"/>
        <v>6.94444444444553E-5</v>
      </c>
      <c r="AF39">
        <v>1</v>
      </c>
      <c r="AG39" s="10">
        <f t="shared" si="27"/>
        <v>4.2320999999999331E-4</v>
      </c>
      <c r="AH39" s="10"/>
      <c r="AI39" s="10"/>
      <c r="AJ39" s="13">
        <f t="shared" si="28"/>
        <v>1.388888888889106E-4</v>
      </c>
      <c r="AK39">
        <v>1</v>
      </c>
      <c r="AL39" s="10">
        <f t="shared" si="29"/>
        <v>2.8138699999999961E-3</v>
      </c>
      <c r="AM39" s="10"/>
      <c r="AN39" s="10"/>
      <c r="AO39" s="13">
        <f t="shared" si="30"/>
        <v>1.1574074074072183E-4</v>
      </c>
      <c r="AP39">
        <v>1</v>
      </c>
      <c r="AQ39" s="10">
        <f t="shared" si="31"/>
        <v>4.1964000000000029E-3</v>
      </c>
      <c r="AT39" s="13">
        <f t="shared" si="32"/>
        <v>8.1018518518605198E-5</v>
      </c>
    </row>
    <row r="40" spans="1:46">
      <c r="W40" s="12"/>
      <c r="AB40" s="10"/>
    </row>
    <row r="41" spans="1:46">
      <c r="A41" s="4" t="s">
        <v>18</v>
      </c>
      <c r="B41" s="273">
        <f>AVERAGE(B29:B39)</f>
        <v>2.5454545454545454</v>
      </c>
      <c r="C41" s="194">
        <f>AVERAGE(C29:C39)</f>
        <v>5.1440872727272656E-3</v>
      </c>
      <c r="F41" s="3">
        <f>AVERAGE(F29:F38)</f>
        <v>1.4583333333332283E-4</v>
      </c>
      <c r="G41" s="199">
        <f t="shared" ref="G41" si="33">AVERAGE(G29:G39)</f>
        <v>2.0909090909090908</v>
      </c>
      <c r="H41" s="194">
        <f>AVERAGE(H29:H38)</f>
        <v>1.4238624999999994E-2</v>
      </c>
      <c r="K41" s="3">
        <f>AVERAGE(K29:K38)</f>
        <v>1.5162037037038111E-4</v>
      </c>
      <c r="L41" s="274">
        <f>AVERAGE(L29:L39)</f>
        <v>1.4545454545454546</v>
      </c>
      <c r="M41" s="197">
        <f>AVERAGE(M29:M39)</f>
        <v>9.50998272727273E-3</v>
      </c>
      <c r="N41" s="10"/>
      <c r="O41" s="10"/>
      <c r="P41" s="10"/>
      <c r="Q41" s="274">
        <f>AVERAGE(Q29:Q39)</f>
        <v>1.3636363636363635</v>
      </c>
      <c r="R41" s="197">
        <f>AVERAGE(R29:R39)</f>
        <v>1.2765826363636363E-2</v>
      </c>
      <c r="U41" s="3">
        <f>U16</f>
        <v>1.0532407407406463E-4</v>
      </c>
      <c r="V41" s="273">
        <f t="shared" ref="V41" si="34">AVERAGE(V29:V39)</f>
        <v>1.9090909090909092</v>
      </c>
      <c r="W41" s="194">
        <f>AVERAGE(W29:W39)</f>
        <v>1.701978181818186E-3</v>
      </c>
      <c r="AA41" s="273">
        <f t="shared" ref="AA41" si="35">AVERAGE(AA29:AA39)</f>
        <v>1.6363636363636365</v>
      </c>
      <c r="AB41" s="194">
        <f>AVERAGE(AB29:AB39)</f>
        <v>1.2145604545454547E-2</v>
      </c>
      <c r="AE41" s="3">
        <f>AE16</f>
        <v>1.1689814814815347E-4</v>
      </c>
      <c r="AF41" s="199">
        <f t="shared" ref="AF41" si="36">AVERAGE(AF29:AF39)</f>
        <v>1.5454545454545454</v>
      </c>
      <c r="AG41" s="194">
        <f>AVERAGE(AG29:AG39)</f>
        <v>2.8516363636363578E-3</v>
      </c>
      <c r="AK41" s="199">
        <f t="shared" ref="AK41" si="37">AVERAGE(AK29:AK39)</f>
        <v>1.9090909090909092</v>
      </c>
      <c r="AL41" s="194">
        <f>AVERAGE(AL29:AL39)</f>
        <v>5.5076654545454535E-3</v>
      </c>
      <c r="AP41" s="199">
        <f t="shared" ref="AP41" si="38">AVERAGE(AP29:AP39)</f>
        <v>1.2727272727272727</v>
      </c>
      <c r="AQ41" s="194">
        <f>AVERAGE(AQ29:AQ39)</f>
        <v>3.0533727272727333E-3</v>
      </c>
    </row>
    <row r="42" spans="1:46">
      <c r="A42" s="4" t="s">
        <v>19</v>
      </c>
      <c r="B42" s="273">
        <f>MEDIAN(B29:B39)</f>
        <v>3</v>
      </c>
      <c r="C42" s="194">
        <f>MEDIAN(C29:C39)</f>
        <v>2.5012499999999965E-3</v>
      </c>
      <c r="F42" s="3">
        <f>MEDIAN(F29:F38)</f>
        <v>1.2152777777774126E-4</v>
      </c>
      <c r="G42" s="199">
        <f t="shared" ref="G42" si="39">MEDIAN(G29:G39)</f>
        <v>2</v>
      </c>
      <c r="H42" s="194">
        <f>MEDIAN(H29:H38)</f>
        <v>1.0073839999999994E-2</v>
      </c>
      <c r="K42" s="3">
        <f>MEDIAN(K29:K38)</f>
        <v>1.5046296296294948E-4</v>
      </c>
      <c r="L42" s="274">
        <f>MEDIAN(L29:L39)</f>
        <v>1</v>
      </c>
      <c r="M42" s="197">
        <f>MEDIAN(M29:M39)</f>
        <v>4.8996099999999987E-3</v>
      </c>
      <c r="N42" s="10"/>
      <c r="O42" s="10"/>
      <c r="P42" s="10"/>
      <c r="Q42" s="274">
        <f>MEDIAN(Q29:Q39)</f>
        <v>1</v>
      </c>
      <c r="R42" s="197">
        <f>MEDIAN(R29:R39)</f>
        <v>1.0145460000000002E-2</v>
      </c>
      <c r="U42" s="3">
        <f t="shared" ref="U42:U45" si="40">U17</f>
        <v>1.1574074074072183E-4</v>
      </c>
      <c r="V42" s="273">
        <f t="shared" ref="V42" si="41">MEDIAN(V29:V39)</f>
        <v>1</v>
      </c>
      <c r="W42" s="194">
        <f>MEDIAN(W29:W39)</f>
        <v>9.3553000000000386E-4</v>
      </c>
      <c r="AA42" s="273">
        <f t="shared" ref="AA42" si="42">MEDIAN(AA29:AA39)</f>
        <v>1</v>
      </c>
      <c r="AB42" s="194">
        <f>MEDIAN(AB29:AB39)</f>
        <v>1.1013759999999997E-2</v>
      </c>
      <c r="AE42" s="3">
        <f t="shared" ref="AE42:AE45" si="43">AE17</f>
        <v>1.099537037037579E-4</v>
      </c>
      <c r="AF42" s="199">
        <f t="shared" ref="AF42" si="44">MEDIAN(AF29:AF39)</f>
        <v>1</v>
      </c>
      <c r="AG42" s="194">
        <f>MEDIAN(AG29:AG39)</f>
        <v>1.9628599999999968E-3</v>
      </c>
      <c r="AK42" s="199">
        <f t="shared" ref="AK42" si="45">MEDIAN(AK29:AK39)</f>
        <v>2</v>
      </c>
      <c r="AL42" s="194">
        <f>MEDIAN(AL29:AL39)</f>
        <v>2.8138699999999961E-3</v>
      </c>
      <c r="AP42" s="199">
        <f t="shared" ref="AP42" si="46">MEDIAN(AP29:AP39)</f>
        <v>1</v>
      </c>
      <c r="AQ42" s="194">
        <f>MEDIAN(AQ29:AQ39)</f>
        <v>1.9873900000000055E-3</v>
      </c>
    </row>
    <row r="43" spans="1:46">
      <c r="A43" s="4" t="s">
        <v>20</v>
      </c>
      <c r="B43" s="273">
        <f>STDEV(B29:B39)</f>
        <v>0.82019953226472486</v>
      </c>
      <c r="C43" s="194">
        <f>STDEV(C29:C39)</f>
        <v>6.3821733701946541E-3</v>
      </c>
      <c r="F43" s="3">
        <f>STDEV(F29:F38)</f>
        <v>8.438409329933516E-5</v>
      </c>
      <c r="G43" s="199">
        <f t="shared" ref="G43" si="47">STDEV(G29:G39)</f>
        <v>1.513574937328539</v>
      </c>
      <c r="H43" s="194">
        <f>STDEV(H29:H38)</f>
        <v>1.1083737287142065E-2</v>
      </c>
      <c r="K43" s="3">
        <f>STDEV(K29:K38)</f>
        <v>6.443016743254071E-5</v>
      </c>
      <c r="L43" s="274">
        <f>STDEV(L29:L39)</f>
        <v>0.9341987329938275</v>
      </c>
      <c r="M43" s="197">
        <f>STDEV(M29:M39)</f>
        <v>1.0846245303085382E-2</v>
      </c>
      <c r="N43" s="10"/>
      <c r="O43" s="10"/>
      <c r="P43" s="10"/>
      <c r="Q43" s="274">
        <f>STDEV(Q29:Q39)</f>
        <v>0.9244162777371755</v>
      </c>
      <c r="R43" s="197">
        <f>STDEV(R29:R39)</f>
        <v>8.9563661808406119E-3</v>
      </c>
      <c r="U43" s="3">
        <f t="shared" si="40"/>
        <v>2.6978601446056077E-5</v>
      </c>
      <c r="V43" s="273">
        <f t="shared" ref="V43" si="48">STDEV(V29:V39)</f>
        <v>1.300349603340998</v>
      </c>
      <c r="W43" s="194">
        <f>STDEV(W29:W39)</f>
        <v>2.0651396841076795E-3</v>
      </c>
      <c r="AA43" s="273">
        <f t="shared" ref="AA43" si="49">STDEV(AA29:AA39)</f>
        <v>1.0269106361049412</v>
      </c>
      <c r="AB43" s="194">
        <f>STDEV(AB29:AB39)</f>
        <v>1.0612904954425404E-2</v>
      </c>
      <c r="AE43" s="3">
        <f t="shared" si="43"/>
        <v>4.4809590766159337E-5</v>
      </c>
      <c r="AF43" s="199">
        <f t="shared" ref="AF43" si="50">STDEV(AF29:AF39)</f>
        <v>0.68755165095232862</v>
      </c>
      <c r="AG43" s="194">
        <f>STDEV(AG29:AG39)</f>
        <v>3.3010383792203115E-3</v>
      </c>
      <c r="AK43" s="199">
        <f t="shared" ref="AK43" si="51">STDEV(AK29:AK39)</f>
        <v>1.0444659357341868</v>
      </c>
      <c r="AL43" s="194">
        <f>STDEV(AL29:AL39)</f>
        <v>6.1448815117500265E-3</v>
      </c>
      <c r="AP43" s="199">
        <f t="shared" ref="AP43" si="52">STDEV(AP29:AP39)</f>
        <v>0.46709936649691397</v>
      </c>
      <c r="AQ43" s="194">
        <f>STDEV(AQ29:AQ39)</f>
        <v>2.9383445382020488E-3</v>
      </c>
    </row>
    <row r="44" spans="1:46">
      <c r="A44" s="4" t="s">
        <v>21</v>
      </c>
      <c r="B44" s="273">
        <f>QUARTILE(B29:B39, 3) - QUARTILE(B29:B39, 1)</f>
        <v>1</v>
      </c>
      <c r="C44" s="194">
        <f>QUARTILE(C29:C39, 3) - QUARTILE(C29:C39, 1)</f>
        <v>1.9868150000000029E-3</v>
      </c>
      <c r="F44" s="3">
        <f>QUARTILE(F29:F38, 3) - QUARTILE(F29:F38, 1)</f>
        <v>1.3310185185184953E-4</v>
      </c>
      <c r="G44" s="199">
        <f t="shared" ref="G44" si="53">QUARTILE(G29:G39, 3) - QUARTILE(G29:G39, 1)</f>
        <v>1.5</v>
      </c>
      <c r="H44" s="194">
        <f>QUARTILE(H29:H38, 3) - QUARTILE(H29:H38, 1)</f>
        <v>1.6283074999999998E-2</v>
      </c>
      <c r="K44" s="3">
        <f>QUARTILE(K29:K38, 3) - QUARTILE(K29:K38, 1)</f>
        <v>1.0127314814815935E-4</v>
      </c>
      <c r="L44" s="274">
        <f>QUARTILE(L29:L39, 3) - QUARTILE(L29:L39, 1)</f>
        <v>1</v>
      </c>
      <c r="M44" s="197">
        <f>QUARTILE(M29:M39, 3) - QUARTILE(M29:M39, 1)</f>
        <v>1.6745174999999998E-2</v>
      </c>
      <c r="N44" s="10"/>
      <c r="O44" s="10"/>
      <c r="P44" s="10"/>
      <c r="Q44" s="274">
        <f>QUARTILE(Q29:Q39, 3) - QUARTILE(Q29:Q39, 1)</f>
        <v>0</v>
      </c>
      <c r="R44" s="197">
        <f>QUARTILE(R29:R39, 3) - QUARTILE(R29:R39, 1)</f>
        <v>5.7425949999999996E-3</v>
      </c>
      <c r="U44" s="3">
        <f t="shared" si="40"/>
        <v>2.3148148148133263E-5</v>
      </c>
      <c r="V44" s="273">
        <f t="shared" ref="V44" si="54">QUARTILE(V29:V39, 3) - QUARTILE(V29:V39, 1)</f>
        <v>1.5</v>
      </c>
      <c r="W44" s="194">
        <f>QUARTILE(W29:W39, 3) - QUARTILE(W29:W39, 1)</f>
        <v>2.0928849999999957E-3</v>
      </c>
      <c r="AA44" s="273">
        <f t="shared" ref="AA44" si="55">QUARTILE(AA29:AA39, 3) - QUARTILE(AA29:AA39, 1)</f>
        <v>1</v>
      </c>
      <c r="AB44" s="194">
        <f>QUARTILE(AB29:AB39, 3) - QUARTILE(AB29:AB39, 1)</f>
        <v>1.5845244999999994E-2</v>
      </c>
      <c r="AE44" s="3">
        <f t="shared" si="43"/>
        <v>4.0509259259288721E-5</v>
      </c>
      <c r="AF44" s="199">
        <f t="shared" ref="AF44" si="56">QUARTILE(AF29:AF39, 3) - QUARTILE(AF29:AF39, 1)</f>
        <v>1</v>
      </c>
      <c r="AG44" s="194">
        <f>QUARTILE(AG29:AG39, 3) - QUARTILE(AG29:AG39, 1)</f>
        <v>1.9814299999999993E-3</v>
      </c>
      <c r="AK44" s="199">
        <f t="shared" ref="AK44" si="57">QUARTILE(AK29:AK39, 3) - QUARTILE(AK29:AK39, 1)</f>
        <v>1.5</v>
      </c>
      <c r="AL44" s="194">
        <f>QUARTILE(AL29:AL39, 3) - QUARTILE(AL29:AL39, 1)</f>
        <v>7.1239900000000037E-3</v>
      </c>
      <c r="AP44" s="199">
        <f t="shared" ref="AP44" si="58">QUARTILE(AP29:AP39, 3) - QUARTILE(AP29:AP39, 1)</f>
        <v>0.5</v>
      </c>
      <c r="AQ44" s="194">
        <f>QUARTILE(AQ29:AQ39, 3) - QUARTILE(AQ29:AQ39, 1)</f>
        <v>1.6399500000000011E-3</v>
      </c>
    </row>
    <row r="45" spans="1:46">
      <c r="A45" s="4" t="s">
        <v>22</v>
      </c>
      <c r="B45" s="273">
        <f>STDEV(B29:B39)/SQRT(COUNT(B29:B39))</f>
        <v>0.24729946379519002</v>
      </c>
      <c r="C45" s="194">
        <f>STDEV(C29:C39)/SQRT(COUNT(C29:C39))</f>
        <v>1.9242976741757874E-3</v>
      </c>
      <c r="F45" s="5">
        <f>STDEV(F29:F38)/SQRT(COUNT(F29:F38))</f>
        <v>2.6684593311405178E-5</v>
      </c>
      <c r="G45" s="199">
        <f t="shared" ref="G45" si="59">STDEV(G29:G39)/SQRT(COUNT(G29:G39))</f>
        <v>0.45636001447313213</v>
      </c>
      <c r="H45" s="194">
        <f>STDEV(H29:H38)/SQRT(COUNT(H29:H38))</f>
        <v>3.5049854814304627E-3</v>
      </c>
      <c r="K45" s="5">
        <f>STDEV(K29:K38)/SQRT(COUNT(K29:K38))</f>
        <v>2.0374607911283173E-5</v>
      </c>
      <c r="L45" s="274">
        <f t="shared" ref="L45:M45" si="60">STDEV(L29:L39)/SQRT(COUNT(L29:L39))</f>
        <v>0.2816715160878121</v>
      </c>
      <c r="M45" s="197">
        <f t="shared" si="60"/>
        <v>3.2702660049535271E-3</v>
      </c>
      <c r="N45" s="10"/>
      <c r="O45" s="10"/>
      <c r="P45" s="10"/>
      <c r="Q45" s="274">
        <f t="shared" ref="Q45:R45" si="61">STDEV(Q29:Q39)/SQRT(COUNT(Q29:Q39))</f>
        <v>0.27872199485010718</v>
      </c>
      <c r="R45" s="197">
        <f t="shared" si="61"/>
        <v>2.7004460097160626E-3</v>
      </c>
      <c r="U45" s="3">
        <f t="shared" si="40"/>
        <v>7.774811953665004E-6</v>
      </c>
      <c r="V45" s="273">
        <f t="shared" ref="V45" si="62">STDEV(V29:V39)/SQRT(COUNT(V29:V39))</f>
        <v>0.3920701573245059</v>
      </c>
      <c r="W45" s="194">
        <f t="shared" ref="W45" si="63">STDEV(W29:W39)/SQRT(COUNT(W29:W39))</f>
        <v>6.2266304289620446E-4</v>
      </c>
      <c r="AA45" s="273">
        <f t="shared" ref="AA45" si="64">STDEV(AA29:AA39)/SQRT(COUNT(AA29:AA39))</f>
        <v>0.30962520665320736</v>
      </c>
      <c r="AB45" s="194">
        <f t="shared" ref="AB45" si="65">STDEV(AB29:AB39)/SQRT(COUNT(AB29:AB39))</f>
        <v>3.1999112426848129E-3</v>
      </c>
      <c r="AE45" s="3">
        <f t="shared" si="43"/>
        <v>1.3523795465539095E-5</v>
      </c>
      <c r="AF45" s="199">
        <f t="shared" ref="AF45" si="66">STDEV(AF29:AF39)/SQRT(COUNT(AF29:AF39))</f>
        <v>0.20730462274529782</v>
      </c>
      <c r="AG45" s="194">
        <f t="shared" ref="AG45" si="67">STDEV(AG29:AG39)/SQRT(COUNT(AG29:AG39))</f>
        <v>9.9530052022151773E-4</v>
      </c>
      <c r="AK45" s="199">
        <f t="shared" ref="AK45" si="68">STDEV(AK29:AK39)/SQRT(COUNT(AK29:AK39))</f>
        <v>0.31491832864888669</v>
      </c>
      <c r="AL45" s="194">
        <f t="shared" ref="AL45" si="69">STDEV(AL29:AL39)/SQRT(COUNT(AL29:AL39))</f>
        <v>1.8527514868787913E-3</v>
      </c>
      <c r="AP45" s="199">
        <f t="shared" ref="AP45" si="70">STDEV(AP29:AP39)/SQRT(COUNT(AP29:AP39))</f>
        <v>0.14083575804390613</v>
      </c>
      <c r="AQ45" s="194">
        <f t="shared" ref="AQ45" si="71">STDEV(AQ29:AQ39)/SQRT(COUNT(AQ29:AQ39))</f>
        <v>8.8594421254602771E-4</v>
      </c>
    </row>
    <row r="48" spans="1:46">
      <c r="A48" s="1" t="s">
        <v>1</v>
      </c>
      <c r="B48" s="276" t="s">
        <v>91</v>
      </c>
      <c r="C48" s="8"/>
      <c r="D48" s="277" t="s">
        <v>89</v>
      </c>
      <c r="E48" s="277"/>
      <c r="F48" s="277"/>
      <c r="H48" s="278" t="s">
        <v>0</v>
      </c>
      <c r="I48" s="7"/>
      <c r="J48" s="277" t="s">
        <v>89</v>
      </c>
      <c r="K48" s="277"/>
      <c r="L48" s="277"/>
      <c r="O48" s="278" t="s">
        <v>90</v>
      </c>
      <c r="P48" s="7"/>
      <c r="Q48" s="277" t="s">
        <v>89</v>
      </c>
      <c r="R48" s="277"/>
      <c r="S48" s="277"/>
    </row>
    <row r="49" spans="1:19">
      <c r="A49" s="1" t="s">
        <v>2</v>
      </c>
      <c r="B49" s="276"/>
      <c r="C49" s="8"/>
      <c r="D49" s="2" t="s">
        <v>15</v>
      </c>
      <c r="E49" s="2" t="s">
        <v>16</v>
      </c>
      <c r="F49" s="2" t="s">
        <v>17</v>
      </c>
      <c r="H49" s="278"/>
      <c r="I49" s="7"/>
      <c r="J49" s="2" t="s">
        <v>15</v>
      </c>
      <c r="K49" s="2" t="s">
        <v>16</v>
      </c>
      <c r="L49" s="2" t="s">
        <v>17</v>
      </c>
      <c r="O49" s="278"/>
      <c r="P49" s="7"/>
      <c r="Q49" s="2" t="s">
        <v>15</v>
      </c>
      <c r="R49" s="2" t="s">
        <v>16</v>
      </c>
      <c r="S49" s="2" t="s">
        <v>17</v>
      </c>
    </row>
    <row r="50" spans="1:19">
      <c r="B50" t="s">
        <v>88</v>
      </c>
      <c r="C50" t="s">
        <v>26</v>
      </c>
      <c r="H50" t="s">
        <v>88</v>
      </c>
      <c r="I50" t="s">
        <v>26</v>
      </c>
      <c r="O50" t="s">
        <v>88</v>
      </c>
      <c r="P50" t="s">
        <v>26</v>
      </c>
    </row>
    <row r="51" spans="1:19">
      <c r="A51" t="s">
        <v>3</v>
      </c>
      <c r="B51">
        <v>3</v>
      </c>
      <c r="C51" s="10">
        <f>C29</f>
        <v>2.3640499999999925E-3</v>
      </c>
      <c r="D51" s="10"/>
      <c r="E51" s="10"/>
      <c r="F51" s="13">
        <f>F29</f>
        <v>6.94444444444553E-5</v>
      </c>
      <c r="H51" s="198">
        <v>1</v>
      </c>
      <c r="I51" s="10">
        <f>H29</f>
        <v>1.0050689999999987E-2</v>
      </c>
      <c r="J51" s="10"/>
      <c r="K51" s="10"/>
      <c r="L51" s="213">
        <f>K29</f>
        <v>1.2731481481481621E-4</v>
      </c>
      <c r="O51">
        <v>1</v>
      </c>
      <c r="P51" s="10">
        <f>AG29</f>
        <v>1.0523499999999936E-3</v>
      </c>
      <c r="Q51" s="10"/>
      <c r="R51" s="10"/>
      <c r="S51" s="13">
        <f>AJ29</f>
        <v>6.94444444444553E-5</v>
      </c>
    </row>
    <row r="52" spans="1:19">
      <c r="A52" t="s">
        <v>4</v>
      </c>
      <c r="B52">
        <v>2</v>
      </c>
      <c r="C52" s="10">
        <f t="shared" ref="C52:C61" si="72">C30</f>
        <v>1.1916299999999991E-3</v>
      </c>
      <c r="D52" s="10"/>
      <c r="E52" s="10"/>
      <c r="F52" s="13">
        <f t="shared" ref="F52:F61" si="73">F30</f>
        <v>1.8518518518517713E-4</v>
      </c>
      <c r="H52" s="198">
        <v>6</v>
      </c>
      <c r="I52" s="10">
        <f t="shared" ref="I52:I61" si="74">H30</f>
        <v>3.470703E-2</v>
      </c>
      <c r="J52" s="10"/>
      <c r="K52" s="10"/>
      <c r="L52" s="213">
        <f t="shared" ref="L52:L61" si="75">K30</f>
        <v>2.3148148148149916E-4</v>
      </c>
      <c r="O52">
        <v>3</v>
      </c>
      <c r="P52" s="10">
        <f t="shared" ref="P52:P61" si="76">AG30</f>
        <v>9.3579899999999966E-3</v>
      </c>
      <c r="Q52" s="10"/>
      <c r="R52" s="10"/>
      <c r="S52" s="13">
        <f t="shared" ref="S52:S59" si="77">AJ30</f>
        <v>1.1574074074072183E-4</v>
      </c>
    </row>
    <row r="53" spans="1:19">
      <c r="A53" t="s">
        <v>5</v>
      </c>
      <c r="B53">
        <v>3</v>
      </c>
      <c r="C53" s="10">
        <f t="shared" si="72"/>
        <v>1.3754029999999987E-2</v>
      </c>
      <c r="D53" s="10"/>
      <c r="E53" s="10"/>
      <c r="F53" s="13">
        <f t="shared" si="73"/>
        <v>3.472222222222765E-5</v>
      </c>
      <c r="H53" s="198">
        <v>2</v>
      </c>
      <c r="I53" s="10">
        <f t="shared" si="74"/>
        <v>6.1641499999999932E-3</v>
      </c>
      <c r="J53" s="10"/>
      <c r="K53" s="10"/>
      <c r="L53" s="213">
        <f t="shared" si="75"/>
        <v>1.9675925925927151E-4</v>
      </c>
      <c r="O53">
        <v>1</v>
      </c>
      <c r="P53" s="10">
        <f t="shared" si="76"/>
        <v>1.9628599999999968E-3</v>
      </c>
      <c r="Q53" s="10"/>
      <c r="R53" s="10"/>
      <c r="S53" s="13">
        <f t="shared" si="77"/>
        <v>1.1574074074072183E-4</v>
      </c>
    </row>
    <row r="54" spans="1:19">
      <c r="A54" t="s">
        <v>6</v>
      </c>
      <c r="B54">
        <v>3</v>
      </c>
      <c r="C54" s="10">
        <f t="shared" si="72"/>
        <v>2.6131099999999879E-3</v>
      </c>
      <c r="D54" s="10"/>
      <c r="E54" s="10"/>
      <c r="F54" s="13">
        <f t="shared" si="73"/>
        <v>2.4305555555553804E-4</v>
      </c>
      <c r="H54" s="198">
        <v>1</v>
      </c>
      <c r="I54" s="10">
        <f t="shared" si="74"/>
        <v>1.009699E-2</v>
      </c>
      <c r="J54" s="10"/>
      <c r="K54" s="10"/>
      <c r="L54" s="213">
        <f t="shared" si="75"/>
        <v>6.94444444444553E-5</v>
      </c>
      <c r="O54">
        <v>2</v>
      </c>
      <c r="P54" s="10">
        <f t="shared" si="76"/>
        <v>9.1957099999999958E-3</v>
      </c>
      <c r="Q54" s="10"/>
      <c r="R54" s="10"/>
      <c r="S54" s="13">
        <f t="shared" si="77"/>
        <v>1.7361111111113825E-4</v>
      </c>
    </row>
    <row r="55" spans="1:19">
      <c r="A55" t="s">
        <v>7</v>
      </c>
      <c r="B55">
        <v>2</v>
      </c>
      <c r="C55" s="10">
        <f t="shared" si="72"/>
        <v>2.5012499999999965E-3</v>
      </c>
      <c r="D55" s="10"/>
      <c r="E55" s="10"/>
      <c r="F55" s="13">
        <f t="shared" si="73"/>
        <v>1.0416666666662744E-4</v>
      </c>
      <c r="H55" s="198">
        <v>3</v>
      </c>
      <c r="I55" s="10">
        <f t="shared" si="74"/>
        <v>1.5881709999999993E-2</v>
      </c>
      <c r="J55" s="10"/>
      <c r="K55" s="10"/>
      <c r="L55" s="213">
        <f t="shared" si="75"/>
        <v>1.9675925925927151E-4</v>
      </c>
      <c r="O55">
        <v>1</v>
      </c>
      <c r="P55" s="10">
        <f t="shared" si="76"/>
        <v>2.0168299999999972E-3</v>
      </c>
      <c r="Q55" s="10"/>
      <c r="R55" s="10"/>
      <c r="S55" s="13">
        <f t="shared" si="77"/>
        <v>1.8518518518523264E-4</v>
      </c>
    </row>
    <row r="56" spans="1:19">
      <c r="A56" t="s">
        <v>8</v>
      </c>
      <c r="B56">
        <v>2</v>
      </c>
      <c r="C56" s="10">
        <f t="shared" si="72"/>
        <v>2.0021999999999956E-3</v>
      </c>
      <c r="D56" s="10"/>
      <c r="E56" s="10"/>
      <c r="F56" s="13">
        <f t="shared" si="73"/>
        <v>1.1574074074072183E-4</v>
      </c>
      <c r="H56" s="198">
        <v>1</v>
      </c>
      <c r="I56" s="10">
        <f t="shared" si="74"/>
        <v>7.5922099999999881E-3</v>
      </c>
      <c r="J56" s="10"/>
      <c r="K56" s="10"/>
      <c r="L56" s="213">
        <f t="shared" si="75"/>
        <v>8.1018518518549687E-5</v>
      </c>
      <c r="O56">
        <v>2</v>
      </c>
      <c r="P56" s="10">
        <f t="shared" si="76"/>
        <v>4.7606999999999511E-4</v>
      </c>
      <c r="Q56" s="10"/>
      <c r="R56" s="10"/>
      <c r="S56" s="13">
        <f t="shared" si="77"/>
        <v>4.6296296296266526E-5</v>
      </c>
    </row>
    <row r="57" spans="1:19">
      <c r="A57" t="s">
        <v>9</v>
      </c>
      <c r="B57">
        <v>3</v>
      </c>
      <c r="C57" s="10">
        <f t="shared" si="72"/>
        <v>5.6743199999999966E-3</v>
      </c>
      <c r="D57" s="10"/>
      <c r="E57" s="10"/>
      <c r="F57" s="13">
        <f t="shared" si="73"/>
        <v>2.1990740740740478E-4</v>
      </c>
      <c r="H57" s="198">
        <v>3</v>
      </c>
      <c r="I57" s="10">
        <f t="shared" si="74"/>
        <v>2.6791049999999997E-2</v>
      </c>
      <c r="J57" s="10"/>
      <c r="K57" s="10"/>
      <c r="L57" s="213">
        <f t="shared" si="75"/>
        <v>1.7361111111108274E-4</v>
      </c>
      <c r="O57">
        <v>1</v>
      </c>
      <c r="P57" s="10">
        <f t="shared" si="76"/>
        <v>1.2403399999999926E-3</v>
      </c>
      <c r="Q57" s="10"/>
      <c r="R57" s="10"/>
      <c r="S57" s="13">
        <f t="shared" si="77"/>
        <v>4.6296296296266526E-5</v>
      </c>
    </row>
    <row r="58" spans="1:19">
      <c r="A58" t="s">
        <v>10</v>
      </c>
      <c r="B58">
        <v>4</v>
      </c>
      <c r="C58" s="10">
        <f t="shared" si="72"/>
        <v>2.0976249999999988E-2</v>
      </c>
      <c r="D58" s="10"/>
      <c r="E58" s="10"/>
      <c r="F58" s="13">
        <f t="shared" si="73"/>
        <v>2.8935185185186008E-4</v>
      </c>
      <c r="H58" s="198">
        <v>2</v>
      </c>
      <c r="I58" s="10">
        <f t="shared" si="74"/>
        <v>5.3736199999999956E-3</v>
      </c>
      <c r="J58" s="10"/>
      <c r="K58" s="10"/>
      <c r="L58" s="213">
        <f t="shared" si="75"/>
        <v>1.0416666666668295E-4</v>
      </c>
      <c r="O58">
        <v>1</v>
      </c>
      <c r="P58" s="10">
        <f t="shared" si="76"/>
        <v>3.0724199999999924E-3</v>
      </c>
      <c r="Q58" s="10"/>
      <c r="R58" s="10"/>
      <c r="S58" s="13">
        <f t="shared" si="77"/>
        <v>3.472222222222765E-5</v>
      </c>
    </row>
    <row r="59" spans="1:19">
      <c r="A59" t="s">
        <v>11</v>
      </c>
      <c r="B59">
        <v>1</v>
      </c>
      <c r="C59" s="10">
        <f t="shared" si="72"/>
        <v>2.6655599999999974E-3</v>
      </c>
      <c r="D59" s="10"/>
      <c r="E59" s="10"/>
      <c r="F59" s="13">
        <f t="shared" si="73"/>
        <v>1.273148148147607E-4</v>
      </c>
      <c r="H59" s="198">
        <v>2</v>
      </c>
      <c r="I59" s="10">
        <f t="shared" si="74"/>
        <v>2.5111749999999988E-2</v>
      </c>
      <c r="J59" s="10"/>
      <c r="K59" s="10"/>
      <c r="L59" s="213">
        <f t="shared" si="75"/>
        <v>2.4305555555559355E-4</v>
      </c>
      <c r="O59">
        <v>2</v>
      </c>
      <c r="P59" s="10">
        <f t="shared" si="76"/>
        <v>1.5135999999998928E-4</v>
      </c>
      <c r="Q59" s="10"/>
      <c r="R59" s="10"/>
      <c r="S59" s="13">
        <f t="shared" si="77"/>
        <v>1.273148148147607E-4</v>
      </c>
    </row>
    <row r="60" spans="1:19">
      <c r="A60" t="s">
        <v>12</v>
      </c>
      <c r="B60">
        <v>3</v>
      </c>
      <c r="C60" s="10">
        <f t="shared" si="72"/>
        <v>2.3640499999999925E-3</v>
      </c>
      <c r="D60" s="10"/>
      <c r="E60" s="10"/>
      <c r="F60" s="13">
        <f t="shared" si="73"/>
        <v>6.94444444444553E-5</v>
      </c>
      <c r="H60" s="198">
        <v>1</v>
      </c>
      <c r="I60" s="10">
        <f t="shared" si="74"/>
        <v>6.1704999999999399E-4</v>
      </c>
      <c r="J60" s="10"/>
      <c r="K60" s="10"/>
      <c r="L60" s="213">
        <f t="shared" si="75"/>
        <v>9.2592592592588563E-5</v>
      </c>
      <c r="O60">
        <v>1</v>
      </c>
      <c r="P60" s="10">
        <f t="shared" si="76"/>
        <v>2.4188599999999949E-3</v>
      </c>
      <c r="Q60" s="10"/>
      <c r="R60" s="10"/>
      <c r="S60" s="13">
        <f>AJ38</f>
        <v>5.7870370370305402E-5</v>
      </c>
    </row>
    <row r="61" spans="1:19">
      <c r="A61" t="s">
        <v>13</v>
      </c>
      <c r="B61">
        <v>2</v>
      </c>
      <c r="C61" s="10">
        <f t="shared" si="72"/>
        <v>4.7850999999998756E-4</v>
      </c>
      <c r="D61" s="10"/>
      <c r="E61" s="10"/>
      <c r="F61" s="13">
        <f t="shared" si="73"/>
        <v>1.7361111111113825E-4</v>
      </c>
      <c r="H61" s="198">
        <v>1</v>
      </c>
      <c r="I61" s="10">
        <f t="shared" si="74"/>
        <v>3.0805349999999995E-2</v>
      </c>
      <c r="L61" s="213">
        <f t="shared" si="75"/>
        <v>6.94444444444553E-5</v>
      </c>
      <c r="O61">
        <v>2</v>
      </c>
      <c r="P61" s="10">
        <f t="shared" si="76"/>
        <v>4.2320999999999331E-4</v>
      </c>
      <c r="S61" s="13">
        <f>AJ39</f>
        <v>1.388888888889106E-4</v>
      </c>
    </row>
    <row r="62" spans="1:19">
      <c r="A62" t="s">
        <v>92</v>
      </c>
      <c r="B62">
        <v>2</v>
      </c>
      <c r="C62" s="10">
        <f>M29</f>
        <v>9.0287900000000018E-3</v>
      </c>
      <c r="D62" s="10"/>
      <c r="E62" s="10"/>
      <c r="F62" s="13">
        <f>P29</f>
        <v>3.1249999999999334E-4</v>
      </c>
      <c r="H62" s="198">
        <v>1</v>
      </c>
      <c r="I62" s="10">
        <f>R29</f>
        <v>1.414180000000001E-3</v>
      </c>
      <c r="L62" s="213">
        <f>U29</f>
        <v>1.388888888889106E-4</v>
      </c>
      <c r="O62">
        <v>3</v>
      </c>
      <c r="P62" s="10">
        <f>AG29</f>
        <v>1.0523499999999936E-3</v>
      </c>
      <c r="S62" s="13">
        <f>AO29</f>
        <v>6.94444444444553E-5</v>
      </c>
    </row>
    <row r="63" spans="1:19">
      <c r="A63" t="s">
        <v>93</v>
      </c>
      <c r="B63">
        <v>1</v>
      </c>
      <c r="C63" s="10">
        <f t="shared" ref="C63:C72" si="78">M30</f>
        <v>1.8026949999999993E-2</v>
      </c>
      <c r="D63" s="10"/>
      <c r="E63" s="10"/>
      <c r="F63" s="13">
        <f t="shared" ref="F63:F72" si="79">P30</f>
        <v>9.2592592592644074E-5</v>
      </c>
      <c r="H63" s="198">
        <v>1</v>
      </c>
      <c r="I63" s="10">
        <f t="shared" ref="I63:I72" si="80">R30</f>
        <v>2.2614649999999993E-2</v>
      </c>
      <c r="L63" s="213">
        <f t="shared" ref="L63:L72" si="81">U30</f>
        <v>1.1574074074072183E-4</v>
      </c>
      <c r="O63">
        <v>2</v>
      </c>
      <c r="P63" s="10">
        <f t="shared" ref="P63:P72" si="82">AG30</f>
        <v>9.3579899999999966E-3</v>
      </c>
      <c r="S63" s="13">
        <f t="shared" ref="S63:S72" si="83">AO30</f>
        <v>1.5046296296300499E-4</v>
      </c>
    </row>
    <row r="64" spans="1:19">
      <c r="A64" t="s">
        <v>94</v>
      </c>
      <c r="B64">
        <v>1</v>
      </c>
      <c r="C64" s="10">
        <f t="shared" si="78"/>
        <v>2.8219000000000161E-4</v>
      </c>
      <c r="D64" s="10"/>
      <c r="E64" s="10"/>
      <c r="F64" s="13">
        <f t="shared" si="79"/>
        <v>1.388888888889106E-4</v>
      </c>
      <c r="H64" s="198">
        <v>1</v>
      </c>
      <c r="I64" s="10">
        <f t="shared" si="80"/>
        <v>7.1925600000000006E-3</v>
      </c>
      <c r="L64" s="213">
        <f t="shared" si="81"/>
        <v>1.3888888888885509E-4</v>
      </c>
      <c r="O64">
        <v>3</v>
      </c>
      <c r="P64" s="10">
        <f t="shared" si="82"/>
        <v>1.9628599999999968E-3</v>
      </c>
      <c r="S64" s="13">
        <f t="shared" si="83"/>
        <v>9.2592592592533052E-5</v>
      </c>
    </row>
    <row r="65" spans="1:19">
      <c r="A65" t="s">
        <v>95</v>
      </c>
      <c r="B65">
        <v>2</v>
      </c>
      <c r="C65" s="10">
        <f t="shared" si="78"/>
        <v>3.3335780000000002E-2</v>
      </c>
      <c r="D65" s="10"/>
      <c r="E65" s="10"/>
      <c r="F65" s="13">
        <f t="shared" si="79"/>
        <v>1.1574074074072183E-4</v>
      </c>
      <c r="H65" s="198">
        <v>1</v>
      </c>
      <c r="I65" s="10">
        <f t="shared" si="80"/>
        <v>1.1209819999999995E-2</v>
      </c>
      <c r="L65" s="213">
        <f t="shared" si="81"/>
        <v>6.94444444444553E-5</v>
      </c>
      <c r="O65">
        <v>4</v>
      </c>
      <c r="P65" s="10">
        <f t="shared" si="82"/>
        <v>9.1957099999999958E-3</v>
      </c>
      <c r="S65" s="13">
        <f t="shared" si="83"/>
        <v>6.94444444444553E-5</v>
      </c>
    </row>
    <row r="66" spans="1:19">
      <c r="A66" t="s">
        <v>96</v>
      </c>
      <c r="B66">
        <v>1</v>
      </c>
      <c r="C66" s="10">
        <f t="shared" si="78"/>
        <v>2.6302199999999956E-3</v>
      </c>
      <c r="D66" s="10"/>
      <c r="E66" s="10"/>
      <c r="F66" s="13">
        <f t="shared" si="79"/>
        <v>8.1018518518549687E-5</v>
      </c>
      <c r="H66" s="198">
        <v>1</v>
      </c>
      <c r="I66" s="10">
        <f t="shared" si="80"/>
        <v>1.1049469999999999E-2</v>
      </c>
      <c r="L66" s="213">
        <f t="shared" si="81"/>
        <v>1.1574074074072183E-4</v>
      </c>
      <c r="O66">
        <v>1</v>
      </c>
      <c r="P66" s="10">
        <f t="shared" si="82"/>
        <v>2.0168299999999972E-3</v>
      </c>
      <c r="S66" s="13">
        <f t="shared" si="83"/>
        <v>8.1018518518494176E-5</v>
      </c>
    </row>
    <row r="67" spans="1:19">
      <c r="A67" t="s">
        <v>97</v>
      </c>
      <c r="B67">
        <v>1</v>
      </c>
      <c r="C67" s="10">
        <f t="shared" si="78"/>
        <v>1.8821170000000005E-2</v>
      </c>
      <c r="D67" s="10"/>
      <c r="E67" s="10"/>
      <c r="F67" s="13">
        <f t="shared" si="79"/>
        <v>2.3148148148188774E-5</v>
      </c>
      <c r="H67" s="198">
        <v>1</v>
      </c>
      <c r="I67" s="10">
        <f t="shared" si="80"/>
        <v>1.0145460000000002E-2</v>
      </c>
      <c r="L67" s="213">
        <f t="shared" si="81"/>
        <v>5.7870370370360913E-5</v>
      </c>
      <c r="O67">
        <v>1</v>
      </c>
      <c r="P67" s="10">
        <f t="shared" si="82"/>
        <v>4.7606999999999511E-4</v>
      </c>
      <c r="S67" s="13">
        <f t="shared" si="83"/>
        <v>4.6296296296377548E-5</v>
      </c>
    </row>
    <row r="68" spans="1:19">
      <c r="A68" t="s">
        <v>98</v>
      </c>
      <c r="B68">
        <v>3</v>
      </c>
      <c r="C68" s="10">
        <f t="shared" si="78"/>
        <v>1.6362590000000003E-2</v>
      </c>
      <c r="D68" s="10"/>
      <c r="E68" s="10"/>
      <c r="F68" s="13">
        <f t="shared" si="79"/>
        <v>8.1018518518494176E-5</v>
      </c>
      <c r="H68" s="198">
        <v>1</v>
      </c>
      <c r="I68" s="10">
        <f t="shared" si="80"/>
        <v>3.4359359999999999E-2</v>
      </c>
      <c r="L68" s="213">
        <f t="shared" si="81"/>
        <v>1.1574074074072183E-4</v>
      </c>
      <c r="O68">
        <v>1</v>
      </c>
      <c r="P68" s="10">
        <f t="shared" si="82"/>
        <v>1.2403399999999926E-3</v>
      </c>
      <c r="S68" s="13">
        <f t="shared" si="83"/>
        <v>6.94444444444553E-5</v>
      </c>
    </row>
    <row r="69" spans="1:19">
      <c r="A69" t="s">
        <v>99</v>
      </c>
      <c r="B69">
        <v>1</v>
      </c>
      <c r="C69" s="10">
        <f t="shared" si="78"/>
        <v>4.5931999999999917E-4</v>
      </c>
      <c r="D69" s="10"/>
      <c r="E69" s="10"/>
      <c r="F69" s="13">
        <f t="shared" si="79"/>
        <v>9.2592592592533052E-5</v>
      </c>
      <c r="H69" s="198">
        <v>4</v>
      </c>
      <c r="I69" s="10">
        <f t="shared" si="80"/>
        <v>1.0095380000000001E-2</v>
      </c>
      <c r="L69" s="213">
        <f t="shared" si="81"/>
        <v>9.2592592592588563E-5</v>
      </c>
      <c r="O69">
        <v>1</v>
      </c>
      <c r="P69" s="10">
        <f t="shared" si="82"/>
        <v>3.0724199999999924E-3</v>
      </c>
      <c r="S69" s="13">
        <f t="shared" si="83"/>
        <v>3.472222222222765E-5</v>
      </c>
    </row>
    <row r="70" spans="1:19">
      <c r="A70" t="s">
        <v>100</v>
      </c>
      <c r="B70">
        <v>3</v>
      </c>
      <c r="C70" s="10">
        <f t="shared" si="78"/>
        <v>3.2332000000000194E-4</v>
      </c>
      <c r="D70" s="10"/>
      <c r="E70" s="10"/>
      <c r="F70" s="13">
        <f t="shared" si="79"/>
        <v>1.273148148147607E-4</v>
      </c>
      <c r="H70" s="198">
        <v>2</v>
      </c>
      <c r="I70" s="10">
        <f t="shared" si="80"/>
        <v>8.8681099999999985E-3</v>
      </c>
      <c r="L70" s="213">
        <f t="shared" si="81"/>
        <v>1.1574074074072183E-4</v>
      </c>
      <c r="O70">
        <v>2</v>
      </c>
      <c r="P70" s="10">
        <f t="shared" si="82"/>
        <v>1.5135999999998928E-4</v>
      </c>
      <c r="S70" s="13">
        <f t="shared" si="83"/>
        <v>1.0416666666668295E-4</v>
      </c>
    </row>
    <row r="71" spans="1:19">
      <c r="A71" t="s">
        <v>101</v>
      </c>
      <c r="B71">
        <v>1</v>
      </c>
      <c r="C71" s="10">
        <f t="shared" si="78"/>
        <v>4.3987000000000193E-4</v>
      </c>
      <c r="D71" s="10"/>
      <c r="E71" s="10"/>
      <c r="F71" s="13">
        <f t="shared" si="79"/>
        <v>1.273148148147607E-4</v>
      </c>
      <c r="H71" s="198">
        <v>1</v>
      </c>
      <c r="I71" s="10">
        <f t="shared" si="80"/>
        <v>7.1390599999999957E-3</v>
      </c>
      <c r="L71" s="213">
        <f t="shared" si="81"/>
        <v>9.2592592592588563E-5</v>
      </c>
      <c r="O71">
        <v>1</v>
      </c>
      <c r="P71" s="10">
        <f t="shared" si="82"/>
        <v>2.4188599999999949E-3</v>
      </c>
      <c r="S71" s="13">
        <f t="shared" si="83"/>
        <v>9.2592592592533052E-5</v>
      </c>
    </row>
    <row r="72" spans="1:19">
      <c r="A72" t="s">
        <v>102</v>
      </c>
      <c r="B72">
        <v>2</v>
      </c>
      <c r="C72" s="10">
        <f t="shared" si="78"/>
        <v>4.8996099999999987E-3</v>
      </c>
      <c r="F72" s="13">
        <f t="shared" si="79"/>
        <v>2.5462962962963243E-4</v>
      </c>
      <c r="H72" s="198">
        <v>1</v>
      </c>
      <c r="I72" s="10">
        <f t="shared" si="80"/>
        <v>1.6336040000000003E-2</v>
      </c>
      <c r="L72" s="213">
        <f t="shared" si="81"/>
        <v>1.1574074074072183E-4</v>
      </c>
      <c r="O72">
        <v>1</v>
      </c>
      <c r="P72" s="10">
        <f t="shared" si="82"/>
        <v>4.2320999999999331E-4</v>
      </c>
      <c r="S72" s="13">
        <f t="shared" si="83"/>
        <v>1.1574074074072183E-4</v>
      </c>
    </row>
    <row r="73" spans="1:19">
      <c r="A73" t="s">
        <v>103</v>
      </c>
      <c r="B73">
        <v>3</v>
      </c>
      <c r="C73" s="10">
        <f>W29</f>
        <v>9.3553000000000386E-4</v>
      </c>
      <c r="F73" s="13">
        <f>Z29</f>
        <v>4.6296296296322037E-5</v>
      </c>
      <c r="H73" s="198">
        <v>1</v>
      </c>
      <c r="I73" s="10">
        <f>AB29</f>
        <v>2.0193080000000002E-2</v>
      </c>
      <c r="L73" s="213">
        <f>AE29</f>
        <v>1.388888888889106E-4</v>
      </c>
      <c r="O73">
        <v>2</v>
      </c>
      <c r="P73" s="10">
        <f>AQ29</f>
        <v>1.9873900000000055E-3</v>
      </c>
      <c r="S73" s="13">
        <f>AT29</f>
        <v>4.6296296296266526E-5</v>
      </c>
    </row>
    <row r="74" spans="1:19">
      <c r="A74" t="s">
        <v>104</v>
      </c>
      <c r="B74">
        <v>1</v>
      </c>
      <c r="C74" s="10">
        <f t="shared" ref="C74:C83" si="84">W30</f>
        <v>5.5589999999999806E-4</v>
      </c>
      <c r="F74" s="13">
        <f t="shared" ref="F74:F83" si="85">Z30</f>
        <v>4.6296296296322037E-5</v>
      </c>
      <c r="H74" s="198">
        <v>4</v>
      </c>
      <c r="I74" s="10">
        <f t="shared" ref="I74:I83" si="86">AB30</f>
        <v>1.802115E-2</v>
      </c>
      <c r="L74" s="213">
        <f t="shared" ref="L74:L83" si="87">AE30</f>
        <v>1.9675925925927151E-4</v>
      </c>
      <c r="O74">
        <v>1</v>
      </c>
      <c r="P74" s="10">
        <f t="shared" ref="P74:P83" si="88">AQ30</f>
        <v>1.967690000000008E-3</v>
      </c>
      <c r="S74" s="13">
        <f t="shared" ref="S74:S83" si="89">AT30</f>
        <v>8.1018518518549687E-5</v>
      </c>
    </row>
    <row r="75" spans="1:19">
      <c r="A75" t="s">
        <v>105</v>
      </c>
      <c r="B75">
        <v>5</v>
      </c>
      <c r="C75" s="10">
        <f t="shared" si="84"/>
        <v>3.228120000000001E-3</v>
      </c>
      <c r="F75" s="13">
        <f t="shared" si="85"/>
        <v>5.7870370370416424E-5</v>
      </c>
      <c r="H75" s="198">
        <v>1</v>
      </c>
      <c r="I75" s="10">
        <f t="shared" si="86"/>
        <v>1.8043000000000919E-4</v>
      </c>
      <c r="L75" s="213">
        <f t="shared" si="87"/>
        <v>1.2731481481481621E-4</v>
      </c>
      <c r="O75">
        <v>1</v>
      </c>
      <c r="P75" s="10">
        <f t="shared" si="88"/>
        <v>2.5629000000000068E-3</v>
      </c>
      <c r="S75" s="13">
        <f t="shared" si="89"/>
        <v>5.7870370370305402E-5</v>
      </c>
    </row>
    <row r="76" spans="1:19">
      <c r="A76" t="s">
        <v>106</v>
      </c>
      <c r="B76">
        <v>3</v>
      </c>
      <c r="C76" s="10">
        <f t="shared" si="84"/>
        <v>3.7190000000000834E-4</v>
      </c>
      <c r="F76" s="13">
        <f t="shared" si="85"/>
        <v>5.7870370370305402E-5</v>
      </c>
      <c r="H76" s="198">
        <v>1</v>
      </c>
      <c r="I76" s="10">
        <f t="shared" si="86"/>
        <v>1.0281280000000004E-2</v>
      </c>
      <c r="L76" s="213">
        <f t="shared" si="87"/>
        <v>9.2592592592588563E-5</v>
      </c>
      <c r="O76">
        <v>2</v>
      </c>
      <c r="P76" s="10">
        <f t="shared" si="88"/>
        <v>1.0616520000000004E-2</v>
      </c>
      <c r="S76" s="13">
        <f t="shared" si="89"/>
        <v>5.7870370370305402E-5</v>
      </c>
    </row>
    <row r="77" spans="1:19">
      <c r="A77" t="s">
        <v>107</v>
      </c>
      <c r="B77">
        <v>1</v>
      </c>
      <c r="C77" s="10">
        <f t="shared" si="84"/>
        <v>1.5211100000000061E-3</v>
      </c>
      <c r="F77" s="13">
        <f t="shared" si="85"/>
        <v>9.2592592592588563E-5</v>
      </c>
      <c r="H77" s="198">
        <v>2</v>
      </c>
      <c r="I77" s="10">
        <f t="shared" si="86"/>
        <v>3.487744000000001E-2</v>
      </c>
      <c r="L77" s="213">
        <f t="shared" si="87"/>
        <v>1.7361111111108274E-4</v>
      </c>
      <c r="O77">
        <v>1</v>
      </c>
      <c r="P77" s="10">
        <f t="shared" si="88"/>
        <v>6.0273000000000965E-4</v>
      </c>
      <c r="S77" s="13">
        <f t="shared" si="89"/>
        <v>6.94444444444553E-5</v>
      </c>
    </row>
    <row r="78" spans="1:19">
      <c r="A78" t="s">
        <v>108</v>
      </c>
      <c r="B78">
        <v>2</v>
      </c>
      <c r="C78" s="10">
        <f t="shared" si="84"/>
        <v>1.3566000000000966E-4</v>
      </c>
      <c r="F78" s="13">
        <f t="shared" si="85"/>
        <v>4.6296296296266526E-5</v>
      </c>
      <c r="H78" s="198">
        <v>1</v>
      </c>
      <c r="I78" s="10">
        <f t="shared" si="86"/>
        <v>1.1013759999999997E-2</v>
      </c>
      <c r="L78" s="213">
        <f t="shared" si="87"/>
        <v>1.0416666666662744E-4</v>
      </c>
      <c r="O78">
        <v>1</v>
      </c>
      <c r="P78" s="10">
        <f t="shared" si="88"/>
        <v>2.2845800000000083E-3</v>
      </c>
      <c r="S78" s="13">
        <f t="shared" si="89"/>
        <v>3.472222222222765E-5</v>
      </c>
    </row>
    <row r="79" spans="1:19">
      <c r="A79" t="s">
        <v>109</v>
      </c>
      <c r="B79">
        <v>1</v>
      </c>
      <c r="C79" s="10">
        <f t="shared" si="84"/>
        <v>1.2586000000000541E-4</v>
      </c>
      <c r="F79" s="13">
        <f t="shared" si="85"/>
        <v>2.3148148148188774E-5</v>
      </c>
      <c r="H79" s="198">
        <v>3</v>
      </c>
      <c r="I79" s="10">
        <f t="shared" si="86"/>
        <v>1.2709800000000049E-3</v>
      </c>
      <c r="L79" s="213">
        <f t="shared" si="87"/>
        <v>5.7870370370360913E-5</v>
      </c>
      <c r="O79">
        <v>1</v>
      </c>
      <c r="P79" s="10">
        <f t="shared" si="88"/>
        <v>5.7012200000000068E-3</v>
      </c>
      <c r="S79" s="13">
        <f t="shared" si="89"/>
        <v>4.6296296296266526E-5</v>
      </c>
    </row>
    <row r="80" spans="1:19">
      <c r="A80" t="s">
        <v>110</v>
      </c>
      <c r="B80">
        <v>1</v>
      </c>
      <c r="C80" s="10">
        <f t="shared" si="84"/>
        <v>6.9284900000000094E-3</v>
      </c>
      <c r="F80" s="13">
        <f t="shared" si="85"/>
        <v>2.3148148148077752E-5</v>
      </c>
      <c r="H80" s="198">
        <v>1</v>
      </c>
      <c r="I80" s="10">
        <f t="shared" si="86"/>
        <v>1.1601449999999999E-2</v>
      </c>
      <c r="L80" s="213">
        <f t="shared" si="87"/>
        <v>1.0416666666668295E-4</v>
      </c>
      <c r="O80">
        <v>1</v>
      </c>
      <c r="P80" s="10">
        <f t="shared" si="88"/>
        <v>1.8001799999999984E-3</v>
      </c>
      <c r="S80" s="13">
        <f t="shared" si="89"/>
        <v>3.472222222222765E-5</v>
      </c>
    </row>
    <row r="81" spans="1:19">
      <c r="A81" t="s">
        <v>111</v>
      </c>
      <c r="B81">
        <v>1</v>
      </c>
      <c r="C81" s="10">
        <f t="shared" si="84"/>
        <v>1.6083900000000012E-3</v>
      </c>
      <c r="F81" s="13">
        <f t="shared" si="85"/>
        <v>9.2592592592533052E-5</v>
      </c>
      <c r="H81" s="198">
        <v>2</v>
      </c>
      <c r="I81" s="10">
        <f t="shared" si="86"/>
        <v>2.021713E-2</v>
      </c>
      <c r="L81" s="213">
        <f t="shared" si="87"/>
        <v>1.1574074074083285E-4</v>
      </c>
      <c r="O81">
        <v>2</v>
      </c>
      <c r="P81" s="10">
        <f t="shared" si="88"/>
        <v>1.679220000000009E-3</v>
      </c>
      <c r="S81" s="13">
        <f t="shared" si="89"/>
        <v>3.472222222222765E-5</v>
      </c>
    </row>
    <row r="82" spans="1:19">
      <c r="A82" t="s">
        <v>112</v>
      </c>
      <c r="B82">
        <v>1</v>
      </c>
      <c r="C82" s="10">
        <f t="shared" si="84"/>
        <v>1.8076000000000203E-4</v>
      </c>
      <c r="F82" s="13">
        <f t="shared" si="85"/>
        <v>3.472222222222765E-5</v>
      </c>
      <c r="H82" s="198">
        <v>1</v>
      </c>
      <c r="I82" s="10">
        <f t="shared" si="86"/>
        <v>6.9219000000000919E-4</v>
      </c>
      <c r="L82" s="213">
        <f t="shared" si="87"/>
        <v>5.7870370370360913E-5</v>
      </c>
      <c r="O82">
        <v>1</v>
      </c>
      <c r="P82" s="10">
        <f t="shared" si="88"/>
        <v>1.8827000000000427E-4</v>
      </c>
      <c r="S82" s="13">
        <f t="shared" si="89"/>
        <v>3.472222222222765E-5</v>
      </c>
    </row>
    <row r="83" spans="1:19">
      <c r="A83" t="s">
        <v>113</v>
      </c>
      <c r="B83">
        <v>2</v>
      </c>
      <c r="C83" s="10">
        <f t="shared" si="84"/>
        <v>3.1300400000000006E-3</v>
      </c>
      <c r="F83" s="13">
        <f t="shared" si="85"/>
        <v>9.2592592592644074E-5</v>
      </c>
      <c r="H83" s="198">
        <v>1</v>
      </c>
      <c r="I83" s="10">
        <f t="shared" si="86"/>
        <v>5.2527600000000091E-3</v>
      </c>
      <c r="L83" s="213">
        <f t="shared" si="87"/>
        <v>6.94444444444553E-5</v>
      </c>
      <c r="O83">
        <v>2</v>
      </c>
      <c r="P83" s="10">
        <f t="shared" si="88"/>
        <v>4.1964000000000029E-3</v>
      </c>
      <c r="Q83" s="10"/>
      <c r="R83" s="10"/>
      <c r="S83" s="13">
        <f t="shared" si="89"/>
        <v>8.1018518518605198E-5</v>
      </c>
    </row>
    <row r="86" spans="1:19">
      <c r="B86" s="194">
        <f>AVERAGE(B51:B83)</f>
        <v>2.0303030303030303</v>
      </c>
      <c r="C86" s="194">
        <f>AVERAGE(C51:C83)</f>
        <v>5.4520160606060615E-3</v>
      </c>
      <c r="F86" s="213">
        <f>AVERAGE(F51:F83)</f>
        <v>1.1188271604937722E-4</v>
      </c>
      <c r="H86" s="194">
        <f>AVERAGE(H51:H83)</f>
        <v>1.696969696969697</v>
      </c>
      <c r="I86" s="194">
        <f>AVERAGE(I51:I83)</f>
        <v>1.3552040606060606E-2</v>
      </c>
      <c r="L86" s="213">
        <f>AVERAGE(L51:L83)</f>
        <v>1.2100168350168559E-4</v>
      </c>
      <c r="O86" s="194">
        <f>AVERAGE(O51:O83)</f>
        <v>1.5757575757575757</v>
      </c>
      <c r="P86" s="194">
        <f>AVERAGE(P51:P83)</f>
        <v>2.9188818181818165E-3</v>
      </c>
      <c r="S86" s="213">
        <f>AVERAGE(S51:S83)</f>
        <v>7.9264870931533725E-5</v>
      </c>
    </row>
    <row r="87" spans="1:19">
      <c r="B87" s="194">
        <f>MEDIAN(B51:B83)</f>
        <v>2</v>
      </c>
      <c r="C87" s="194">
        <f>MEDIAN(C51:C83)</f>
        <v>2.3640499999999925E-3</v>
      </c>
      <c r="F87" s="213">
        <f>MEDIAN(F51:F83)</f>
        <v>9.2592592592588563E-5</v>
      </c>
      <c r="H87" s="194">
        <f>MEDIAN(H51:H83)</f>
        <v>1</v>
      </c>
      <c r="I87" s="194">
        <f>MEDIAN(I51:I83)</f>
        <v>1.0281280000000004E-2</v>
      </c>
      <c r="L87" s="213">
        <f>MEDIAN(L51:L83)</f>
        <v>1.1574074074072183E-4</v>
      </c>
      <c r="O87" s="194">
        <f>MEDIAN(O51:O83)</f>
        <v>1</v>
      </c>
      <c r="P87" s="194">
        <f>MEDIAN(P51:P83)</f>
        <v>1.967690000000008E-3</v>
      </c>
      <c r="S87" s="213">
        <f>MEDIAN(S51:S83)</f>
        <v>6.94444444444553E-5</v>
      </c>
    </row>
    <row r="88" spans="1:19">
      <c r="B88" s="194">
        <f>STDEV(B51:B83)</f>
        <v>1.0453721970202912</v>
      </c>
      <c r="C88" s="194">
        <f>STDEV(C51:C83)</f>
        <v>7.8327266860984193E-3</v>
      </c>
      <c r="F88" s="213">
        <f>STDEV(F51:F83)</f>
        <v>7.7731059832014633E-5</v>
      </c>
      <c r="H88" s="194">
        <f>STDEV(H51:H83)</f>
        <v>1.1854547778397244</v>
      </c>
      <c r="I88" s="194">
        <f>STDEV(I51:I83)</f>
        <v>1.0254715944794292E-2</v>
      </c>
      <c r="L88" s="213">
        <f>STDEV(L51:L83)</f>
        <v>4.9789618990311292E-5</v>
      </c>
      <c r="O88" s="194">
        <f>STDEV(O51:O83)</f>
        <v>0.7917663414126288</v>
      </c>
      <c r="P88" s="194">
        <f>STDEV(P51:P83)</f>
        <v>3.0851166036001136E-3</v>
      </c>
      <c r="S88" s="213">
        <f>STDEV(S51:S83)</f>
        <v>4.1542019958809863E-5</v>
      </c>
    </row>
    <row r="89" spans="1:19">
      <c r="B89" s="194">
        <f>QUARTILE(B51:B83, 3) - QUARTILE(B51:B83, 1)</f>
        <v>2</v>
      </c>
      <c r="C89" s="194">
        <f>QUARTILE(C51:C83, 3) - QUARTILE(C51:C83, 1)</f>
        <v>5.195810000000009E-3</v>
      </c>
      <c r="F89" s="213">
        <f>QUARTILE(F51:F83, 3) - QUARTILE(F51:F83, 1)</f>
        <v>6.94444444444553E-5</v>
      </c>
      <c r="H89" s="194">
        <f>QUARTILE(H51:H83, 3) - QUARTILE(H51:H83, 1)</f>
        <v>1</v>
      </c>
      <c r="I89" s="194">
        <f>QUARTILE(I51:I83, 3) - QUARTILE(I51:I83, 1)</f>
        <v>1.3054020000000006E-2</v>
      </c>
      <c r="L89" s="213">
        <f>QUARTILE(L51:L83, 3) - QUARTILE(L51:L83, 1)</f>
        <v>4.6296296296322037E-5</v>
      </c>
      <c r="O89" s="194">
        <f>QUARTILE(O51:O83, 3) - QUARTILE(O51:O83, 1)</f>
        <v>1</v>
      </c>
      <c r="P89" s="194">
        <f>QUARTILE(P51:P83, 3) - QUARTILE(P51:P83, 1)</f>
        <v>2.0200699999999988E-3</v>
      </c>
      <c r="S89" s="213">
        <f>QUARTILE(S51:S83, 3) - QUARTILE(S51:S83, 1)</f>
        <v>5.7870370370416424E-5</v>
      </c>
    </row>
    <row r="90" spans="1:19">
      <c r="B90" s="194">
        <f>STDEV(B51:B83)/SQRT(COUNT(B51:B83))</f>
        <v>0.18197594165855022</v>
      </c>
      <c r="C90" s="194">
        <f>STDEV(C51:C83)/SQRT(COUNT(C51:C83))</f>
        <v>1.3635027012576539E-3</v>
      </c>
      <c r="F90" s="213">
        <f>STDEV(F51:F83)/SQRT(COUNT(F51:F83))</f>
        <v>1.3531240690509207E-5</v>
      </c>
      <c r="H90" s="194">
        <f>STDEV(H51:H83)/SQRT(COUNT(H51:H83))</f>
        <v>0.20636118896782177</v>
      </c>
      <c r="I90" s="194">
        <f>STDEV(I51:I83)/SQRT(COUNT(I51:I83))</f>
        <v>1.7851169141613098E-3</v>
      </c>
      <c r="L90" s="213">
        <f>STDEV(L51:L83)/SQRT(COUNT(L51:L83))</f>
        <v>8.667260164760688E-6</v>
      </c>
      <c r="O90" s="194">
        <f>STDEV(O51:O83)/SQRT(COUNT(O51:O83))</f>
        <v>0.1378288287777292</v>
      </c>
      <c r="P90" s="194">
        <f>STDEV(P51:P83)/SQRT(COUNT(P51:P83))</f>
        <v>5.3704986670471164E-4</v>
      </c>
      <c r="S90" s="213">
        <f>STDEV(S51:S83)/SQRT(COUNT(S51:S83))</f>
        <v>7.231537458094436E-6</v>
      </c>
    </row>
  </sheetData>
  <mergeCells count="42">
    <mergeCell ref="AH26:AJ26"/>
    <mergeCell ref="AK26:AK27"/>
    <mergeCell ref="AM26:AO26"/>
    <mergeCell ref="AP26:AP27"/>
    <mergeCell ref="AR1:AT1"/>
    <mergeCell ref="AR26:AT26"/>
    <mergeCell ref="AM1:AO1"/>
    <mergeCell ref="AP1:AP2"/>
    <mergeCell ref="AK1:AK2"/>
    <mergeCell ref="AH1:AJ1"/>
    <mergeCell ref="S26:U26"/>
    <mergeCell ref="V26:V27"/>
    <mergeCell ref="X26:Z26"/>
    <mergeCell ref="AA26:AA27"/>
    <mergeCell ref="AC26:AE26"/>
    <mergeCell ref="G26:G27"/>
    <mergeCell ref="I26:K26"/>
    <mergeCell ref="L26:L27"/>
    <mergeCell ref="N26:P26"/>
    <mergeCell ref="Q26:Q27"/>
    <mergeCell ref="AF26:AF27"/>
    <mergeCell ref="B1:B2"/>
    <mergeCell ref="D1:F1"/>
    <mergeCell ref="G1:G2"/>
    <mergeCell ref="I1:K1"/>
    <mergeCell ref="L1:L2"/>
    <mergeCell ref="AA1:AA2"/>
    <mergeCell ref="N1:P1"/>
    <mergeCell ref="Q1:Q2"/>
    <mergeCell ref="S1:U1"/>
    <mergeCell ref="V1:V2"/>
    <mergeCell ref="X1:Z1"/>
    <mergeCell ref="AF1:AF2"/>
    <mergeCell ref="AC1:AE1"/>
    <mergeCell ref="B26:B27"/>
    <mergeCell ref="D26:F26"/>
    <mergeCell ref="O48:O49"/>
    <mergeCell ref="Q48:S48"/>
    <mergeCell ref="B48:B49"/>
    <mergeCell ref="D48:F48"/>
    <mergeCell ref="H48:H49"/>
    <mergeCell ref="J48:L4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2E31-EF5D-4E47-A07B-35E502BAA021}">
  <dimension ref="A1:U7"/>
  <sheetViews>
    <sheetView workbookViewId="0">
      <selection activeCell="S4" sqref="S4"/>
    </sheetView>
  </sheetViews>
  <sheetFormatPr baseColWidth="10" defaultColWidth="8.83203125" defaultRowHeight="15"/>
  <cols>
    <col min="2" max="2" width="29.83203125" customWidth="1"/>
    <col min="3" max="3" width="23.33203125" customWidth="1"/>
    <col min="4" max="4" width="27.1640625" customWidth="1"/>
    <col min="10" max="10" width="17" customWidth="1"/>
    <col min="11" max="12" width="13.5" customWidth="1"/>
    <col min="16" max="16" width="4.33203125" customWidth="1"/>
    <col min="18" max="18" width="14.5" customWidth="1"/>
    <col min="19" max="19" width="13" customWidth="1"/>
    <col min="20" max="20" width="13.1640625" customWidth="1"/>
  </cols>
  <sheetData>
    <row r="1" spans="1:21" ht="16" thickBot="1">
      <c r="A1" s="279" t="s">
        <v>36</v>
      </c>
      <c r="B1" s="279"/>
      <c r="C1" s="279"/>
      <c r="D1" s="279"/>
      <c r="E1" s="201"/>
      <c r="I1" s="279" t="s">
        <v>36</v>
      </c>
      <c r="J1" s="279"/>
      <c r="K1" s="279"/>
      <c r="L1" s="279"/>
      <c r="M1" s="201"/>
      <c r="Q1" s="282" t="s">
        <v>36</v>
      </c>
      <c r="R1" s="282"/>
      <c r="S1" s="282"/>
      <c r="T1" s="282"/>
      <c r="U1" s="226"/>
    </row>
    <row r="2" spans="1:21" ht="29" thickTop="1" thickBot="1">
      <c r="A2" s="280" t="s">
        <v>30</v>
      </c>
      <c r="B2" s="202" t="s">
        <v>135</v>
      </c>
      <c r="C2" s="203" t="s">
        <v>136</v>
      </c>
      <c r="D2" s="204" t="s">
        <v>137</v>
      </c>
      <c r="E2" s="201"/>
      <c r="I2" s="280" t="s">
        <v>30</v>
      </c>
      <c r="J2" s="202" t="s">
        <v>141</v>
      </c>
      <c r="K2" s="203" t="s">
        <v>142</v>
      </c>
      <c r="L2" s="204" t="s">
        <v>143</v>
      </c>
      <c r="M2" s="201"/>
      <c r="Q2" s="283" t="s">
        <v>30</v>
      </c>
      <c r="R2" s="227" t="s">
        <v>146</v>
      </c>
      <c r="S2" s="228" t="s">
        <v>147</v>
      </c>
      <c r="T2" s="229" t="s">
        <v>170</v>
      </c>
      <c r="U2" s="226"/>
    </row>
    <row r="3" spans="1:21" ht="16" thickTop="1">
      <c r="A3" s="205" t="s">
        <v>32</v>
      </c>
      <c r="B3" s="206" t="s">
        <v>138</v>
      </c>
      <c r="C3" s="207" t="s">
        <v>139</v>
      </c>
      <c r="D3" s="208" t="s">
        <v>140</v>
      </c>
      <c r="E3" s="201"/>
      <c r="I3" s="205" t="s">
        <v>32</v>
      </c>
      <c r="J3" s="206" t="s">
        <v>116</v>
      </c>
      <c r="K3" s="207" t="s">
        <v>144</v>
      </c>
      <c r="L3" s="208" t="s">
        <v>145</v>
      </c>
      <c r="M3" s="201"/>
      <c r="Q3" s="230" t="s">
        <v>32</v>
      </c>
      <c r="R3" s="231" t="s">
        <v>171</v>
      </c>
      <c r="S3" s="232" t="s">
        <v>172</v>
      </c>
      <c r="T3" s="233" t="s">
        <v>173</v>
      </c>
      <c r="U3" s="226"/>
    </row>
    <row r="4" spans="1:21" ht="40" thickBot="1">
      <c r="A4" s="209" t="s">
        <v>33</v>
      </c>
      <c r="B4" s="210">
        <v>1.9485809289340779E-4</v>
      </c>
      <c r="C4" s="211">
        <v>3.7958624306823545E-3</v>
      </c>
      <c r="D4" s="212">
        <v>0.11403768232980843</v>
      </c>
      <c r="E4" s="201"/>
      <c r="I4" s="209" t="s">
        <v>33</v>
      </c>
      <c r="J4" s="210">
        <v>0.19191826571549839</v>
      </c>
      <c r="K4" s="211">
        <v>0.59348699988318199</v>
      </c>
      <c r="L4" s="212">
        <v>6.8718193505236377E-2</v>
      </c>
      <c r="M4" s="201"/>
      <c r="Q4" s="234" t="s">
        <v>33</v>
      </c>
      <c r="R4" s="235">
        <v>0.2980068056411605</v>
      </c>
      <c r="S4" s="236">
        <v>1.1795083916210094E-3</v>
      </c>
      <c r="T4" s="237">
        <v>1.5664362838105596E-2</v>
      </c>
      <c r="U4" s="226"/>
    </row>
    <row r="5" spans="1:21" ht="16" thickTop="1">
      <c r="A5" s="281" t="s">
        <v>34</v>
      </c>
      <c r="B5" s="281"/>
      <c r="C5" s="281"/>
      <c r="D5" s="281"/>
      <c r="E5" s="201"/>
      <c r="I5" s="281" t="s">
        <v>34</v>
      </c>
      <c r="J5" s="281"/>
      <c r="K5" s="281"/>
      <c r="L5" s="281"/>
      <c r="M5" s="201"/>
      <c r="Q5" s="284" t="s">
        <v>34</v>
      </c>
      <c r="R5" s="284"/>
      <c r="S5" s="284"/>
      <c r="T5" s="284"/>
      <c r="U5" s="226"/>
    </row>
    <row r="6" spans="1:21">
      <c r="A6" s="281" t="s">
        <v>114</v>
      </c>
      <c r="B6" s="281"/>
      <c r="C6" s="281"/>
      <c r="D6" s="281"/>
      <c r="E6" s="201"/>
      <c r="I6" s="281" t="s">
        <v>35</v>
      </c>
      <c r="J6" s="281"/>
      <c r="K6" s="281"/>
      <c r="L6" s="281"/>
      <c r="M6" s="201"/>
      <c r="Q6" s="284" t="s">
        <v>114</v>
      </c>
      <c r="R6" s="284"/>
      <c r="S6" s="284"/>
      <c r="T6" s="284"/>
      <c r="U6" s="226"/>
    </row>
    <row r="7" spans="1:21">
      <c r="A7" s="281" t="s">
        <v>115</v>
      </c>
      <c r="B7" s="281"/>
      <c r="C7" s="281"/>
      <c r="D7" s="281"/>
      <c r="E7" s="201"/>
      <c r="I7" s="281" t="s">
        <v>78</v>
      </c>
      <c r="J7" s="281"/>
      <c r="K7" s="281"/>
      <c r="L7" s="281"/>
      <c r="M7" s="201"/>
      <c r="Q7" s="284" t="s">
        <v>115</v>
      </c>
      <c r="R7" s="284"/>
      <c r="S7" s="284"/>
      <c r="T7" s="284"/>
      <c r="U7" s="226"/>
    </row>
  </sheetData>
  <mergeCells count="15">
    <mergeCell ref="Q1:T1"/>
    <mergeCell ref="Q2"/>
    <mergeCell ref="Q5:T5"/>
    <mergeCell ref="Q6:T6"/>
    <mergeCell ref="Q7:T7"/>
    <mergeCell ref="I1:L1"/>
    <mergeCell ref="I2"/>
    <mergeCell ref="I5:L5"/>
    <mergeCell ref="I6:L6"/>
    <mergeCell ref="I7:L7"/>
    <mergeCell ref="A1:D1"/>
    <mergeCell ref="A2"/>
    <mergeCell ref="A5:D5"/>
    <mergeCell ref="A6:D6"/>
    <mergeCell ref="A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A9DA-1DDD-4240-9E60-EC17A0E75C31}">
  <dimension ref="A1:AH69"/>
  <sheetViews>
    <sheetView topLeftCell="K1" workbookViewId="0">
      <selection activeCell="B15" sqref="B15"/>
    </sheetView>
  </sheetViews>
  <sheetFormatPr baseColWidth="10" defaultColWidth="8.83203125" defaultRowHeight="15"/>
  <sheetData>
    <row r="1" spans="1:33">
      <c r="A1" s="285" t="s">
        <v>132</v>
      </c>
      <c r="B1" s="285"/>
      <c r="C1" s="285"/>
      <c r="D1" s="285"/>
      <c r="E1" s="285"/>
      <c r="F1" s="285"/>
      <c r="G1" s="285"/>
      <c r="H1" s="285"/>
      <c r="I1" s="285"/>
      <c r="J1" s="285"/>
      <c r="L1" s="285" t="s">
        <v>88</v>
      </c>
      <c r="M1" s="285"/>
      <c r="N1" s="285"/>
      <c r="O1" s="285"/>
      <c r="P1" s="285"/>
      <c r="Q1" s="285"/>
      <c r="R1" s="285"/>
      <c r="S1" s="285"/>
      <c r="T1" s="285"/>
      <c r="U1" s="285"/>
      <c r="W1" s="285" t="s">
        <v>133</v>
      </c>
      <c r="X1" s="285"/>
      <c r="Y1" s="285"/>
      <c r="Z1" s="285"/>
      <c r="AA1" s="285"/>
      <c r="AB1" s="285"/>
      <c r="AC1" s="285"/>
    </row>
    <row r="2" spans="1:33" ht="16" thickBot="1">
      <c r="A2" s="296" t="s">
        <v>37</v>
      </c>
      <c r="B2" s="296"/>
      <c r="C2" s="296"/>
      <c r="D2" s="296"/>
      <c r="E2" s="296"/>
      <c r="F2" s="296"/>
      <c r="G2" s="296"/>
      <c r="H2" s="16"/>
      <c r="I2" s="16"/>
      <c r="J2" s="16"/>
      <c r="L2" s="288" t="s">
        <v>37</v>
      </c>
      <c r="M2" s="288"/>
      <c r="N2" s="288"/>
      <c r="O2" s="288"/>
      <c r="P2" s="288"/>
      <c r="Q2" s="288"/>
      <c r="R2" s="288"/>
      <c r="S2" s="36"/>
      <c r="T2" s="36"/>
      <c r="U2" s="36"/>
      <c r="W2" s="303" t="s">
        <v>37</v>
      </c>
      <c r="X2" s="303"/>
      <c r="Y2" s="303"/>
      <c r="Z2" s="303"/>
      <c r="AA2" s="303"/>
      <c r="AB2" s="303"/>
      <c r="AC2" s="303"/>
    </row>
    <row r="3" spans="1:33" ht="16" thickTop="1">
      <c r="A3" s="297" t="s">
        <v>30</v>
      </c>
      <c r="B3" s="299" t="s">
        <v>45</v>
      </c>
      <c r="C3" s="300"/>
      <c r="D3" s="300"/>
      <c r="E3" s="300" t="s">
        <v>38</v>
      </c>
      <c r="F3" s="300"/>
      <c r="G3" s="301"/>
      <c r="H3" s="16"/>
      <c r="I3" s="16"/>
      <c r="J3" s="16"/>
      <c r="L3" s="289" t="s">
        <v>30</v>
      </c>
      <c r="M3" s="291" t="s">
        <v>45</v>
      </c>
      <c r="N3" s="292"/>
      <c r="O3" s="292"/>
      <c r="P3" s="292" t="s">
        <v>38</v>
      </c>
      <c r="Q3" s="292"/>
      <c r="R3" s="293"/>
      <c r="S3" s="36"/>
      <c r="T3" s="36"/>
      <c r="U3" s="36"/>
      <c r="W3" s="304" t="s">
        <v>30</v>
      </c>
      <c r="X3" s="306" t="s">
        <v>45</v>
      </c>
      <c r="Y3" s="307"/>
      <c r="Z3" s="307"/>
      <c r="AA3" s="307" t="s">
        <v>38</v>
      </c>
      <c r="AB3" s="307"/>
      <c r="AC3" s="308"/>
    </row>
    <row r="4" spans="1:33" ht="16" thickBot="1">
      <c r="A4" s="298"/>
      <c r="B4" s="18" t="s">
        <v>39</v>
      </c>
      <c r="C4" s="19" t="s">
        <v>40</v>
      </c>
      <c r="D4" s="19" t="s">
        <v>41</v>
      </c>
      <c r="E4" s="19" t="s">
        <v>39</v>
      </c>
      <c r="F4" s="19" t="s">
        <v>40</v>
      </c>
      <c r="G4" s="20" t="s">
        <v>41</v>
      </c>
      <c r="H4" s="16"/>
      <c r="I4" s="16"/>
      <c r="J4" s="16"/>
      <c r="L4" s="290"/>
      <c r="M4" s="37" t="s">
        <v>39</v>
      </c>
      <c r="N4" s="38" t="s">
        <v>40</v>
      </c>
      <c r="O4" s="38" t="s">
        <v>41</v>
      </c>
      <c r="P4" s="38" t="s">
        <v>39</v>
      </c>
      <c r="Q4" s="38" t="s">
        <v>40</v>
      </c>
      <c r="R4" s="39" t="s">
        <v>41</v>
      </c>
      <c r="S4" s="36"/>
      <c r="T4" s="36"/>
      <c r="U4" s="36"/>
      <c r="W4" s="305"/>
      <c r="X4" s="55" t="s">
        <v>39</v>
      </c>
      <c r="Y4" s="56" t="s">
        <v>40</v>
      </c>
      <c r="Z4" s="56" t="s">
        <v>41</v>
      </c>
      <c r="AA4" s="56" t="s">
        <v>39</v>
      </c>
      <c r="AB4" s="56" t="s">
        <v>40</v>
      </c>
      <c r="AC4" s="57" t="s">
        <v>41</v>
      </c>
    </row>
    <row r="5" spans="1:33" ht="16" thickTop="1">
      <c r="A5" s="21" t="s">
        <v>66</v>
      </c>
      <c r="B5" s="22">
        <v>0.29014651627675975</v>
      </c>
      <c r="C5" s="23">
        <v>11</v>
      </c>
      <c r="D5" s="24">
        <v>1.0214567182124427E-2</v>
      </c>
      <c r="E5" s="24">
        <v>0.78641453685946261</v>
      </c>
      <c r="F5" s="23">
        <v>11</v>
      </c>
      <c r="G5" s="25">
        <v>6.2340757580498516E-3</v>
      </c>
      <c r="H5" s="16"/>
      <c r="I5" s="16"/>
      <c r="J5" s="16"/>
      <c r="L5" s="40" t="s">
        <v>70</v>
      </c>
      <c r="M5" s="41">
        <v>0.44762025382659854</v>
      </c>
      <c r="N5" s="42">
        <v>11</v>
      </c>
      <c r="O5" s="43">
        <v>7.8347532933626093E-7</v>
      </c>
      <c r="P5" s="43">
        <v>0.57240586224098122</v>
      </c>
      <c r="Q5" s="42">
        <v>11</v>
      </c>
      <c r="R5" s="44">
        <v>1.1574327335294083E-5</v>
      </c>
      <c r="S5" s="36"/>
      <c r="T5" s="36"/>
      <c r="U5" s="36"/>
      <c r="W5" s="58" t="s">
        <v>73</v>
      </c>
      <c r="X5" s="59">
        <v>0.19538626389275593</v>
      </c>
      <c r="Y5" s="60">
        <v>11</v>
      </c>
      <c r="Z5" s="61" t="s">
        <v>77</v>
      </c>
      <c r="AA5" s="62">
        <v>0.86733996665557345</v>
      </c>
      <c r="AB5" s="60">
        <v>11</v>
      </c>
      <c r="AC5" s="63">
        <v>7.1645133958902762E-2</v>
      </c>
    </row>
    <row r="6" spans="1:33">
      <c r="A6" s="26" t="s">
        <v>67</v>
      </c>
      <c r="B6" s="27">
        <v>0.24491980003868991</v>
      </c>
      <c r="C6" s="28">
        <v>11</v>
      </c>
      <c r="D6" s="29">
        <v>6.4028293125953428E-2</v>
      </c>
      <c r="E6" s="29">
        <v>0.77677408310316187</v>
      </c>
      <c r="F6" s="28">
        <v>11</v>
      </c>
      <c r="G6" s="30">
        <v>4.6575792337582829E-3</v>
      </c>
      <c r="H6" s="16"/>
      <c r="I6" s="16"/>
      <c r="J6" s="16"/>
      <c r="L6" s="45" t="s">
        <v>71</v>
      </c>
      <c r="M6" s="46">
        <v>0.30321374115728839</v>
      </c>
      <c r="N6" s="47">
        <v>11</v>
      </c>
      <c r="O6" s="48">
        <v>5.5838353508053575E-3</v>
      </c>
      <c r="P6" s="48">
        <v>0.75296048383705694</v>
      </c>
      <c r="Q6" s="47">
        <v>11</v>
      </c>
      <c r="R6" s="49">
        <v>2.2719879420362507E-3</v>
      </c>
      <c r="S6" s="36"/>
      <c r="T6" s="36"/>
      <c r="U6" s="36"/>
      <c r="W6" s="64" t="s">
        <v>74</v>
      </c>
      <c r="X6" s="65">
        <v>0.20078508197056869</v>
      </c>
      <c r="Y6" s="66">
        <v>11</v>
      </c>
      <c r="Z6" s="67" t="s">
        <v>77</v>
      </c>
      <c r="AA6" s="68">
        <v>0.85591190775058135</v>
      </c>
      <c r="AB6" s="66">
        <v>11</v>
      </c>
      <c r="AC6" s="69">
        <v>5.0957326196089857E-2</v>
      </c>
    </row>
    <row r="7" spans="1:33" ht="16" thickBot="1">
      <c r="A7" s="31" t="s">
        <v>68</v>
      </c>
      <c r="B7" s="32">
        <v>0.31061949351993912</v>
      </c>
      <c r="C7" s="33">
        <v>11</v>
      </c>
      <c r="D7" s="34">
        <v>3.9076902321150478E-3</v>
      </c>
      <c r="E7" s="34">
        <v>0.64178952450376936</v>
      </c>
      <c r="F7" s="33">
        <v>11</v>
      </c>
      <c r="G7" s="35">
        <v>8.4855271247449699E-5</v>
      </c>
      <c r="H7" s="16"/>
      <c r="I7" s="16"/>
      <c r="J7" s="16"/>
      <c r="L7" s="50" t="s">
        <v>72</v>
      </c>
      <c r="M7" s="51">
        <v>0.23204318981264804</v>
      </c>
      <c r="N7" s="52">
        <v>11</v>
      </c>
      <c r="O7" s="53">
        <v>0.10046505772621875</v>
      </c>
      <c r="P7" s="53">
        <v>0.82191454283831777</v>
      </c>
      <c r="Q7" s="52">
        <v>11</v>
      </c>
      <c r="R7" s="54">
        <v>1.827686705052442E-2</v>
      </c>
      <c r="S7" s="36"/>
      <c r="T7" s="36"/>
      <c r="U7" s="36"/>
      <c r="W7" s="70" t="s">
        <v>75</v>
      </c>
      <c r="X7" s="71">
        <v>0.20639432058179219</v>
      </c>
      <c r="Y7" s="72">
        <v>11</v>
      </c>
      <c r="Z7" s="73" t="s">
        <v>77</v>
      </c>
      <c r="AA7" s="74">
        <v>0.79436304663736867</v>
      </c>
      <c r="AB7" s="72">
        <v>11</v>
      </c>
      <c r="AC7" s="75">
        <v>7.9302862886750612E-3</v>
      </c>
    </row>
    <row r="8" spans="1:33" ht="16" thickTop="1">
      <c r="A8" s="302" t="s">
        <v>44</v>
      </c>
      <c r="B8" s="302"/>
      <c r="C8" s="302"/>
      <c r="D8" s="302"/>
      <c r="E8" s="302"/>
      <c r="F8" s="302"/>
      <c r="G8" s="302"/>
      <c r="H8" s="16"/>
      <c r="I8" s="16"/>
      <c r="J8" s="16"/>
      <c r="L8" s="294" t="s">
        <v>44</v>
      </c>
      <c r="M8" s="294"/>
      <c r="N8" s="294"/>
      <c r="O8" s="294"/>
      <c r="P8" s="294"/>
      <c r="Q8" s="294"/>
      <c r="R8" s="294"/>
      <c r="S8" s="36"/>
      <c r="T8" s="36"/>
      <c r="U8" s="36"/>
      <c r="W8" s="287" t="s">
        <v>76</v>
      </c>
      <c r="X8" s="287"/>
      <c r="Y8" s="287"/>
      <c r="Z8" s="287"/>
      <c r="AA8" s="287"/>
      <c r="AB8" s="287"/>
      <c r="AC8" s="287"/>
    </row>
    <row r="9" spans="1:33">
      <c r="A9" s="16"/>
      <c r="B9" s="16"/>
      <c r="C9" s="16"/>
      <c r="D9" s="16"/>
      <c r="E9" s="16"/>
      <c r="F9" s="16"/>
      <c r="G9" s="16"/>
      <c r="H9" s="16"/>
      <c r="I9" s="16"/>
      <c r="J9" s="16"/>
      <c r="L9" s="36"/>
      <c r="M9" s="36"/>
      <c r="N9" s="36"/>
      <c r="O9" s="36"/>
      <c r="P9" s="36"/>
      <c r="Q9" s="36"/>
      <c r="R9" s="36"/>
      <c r="S9" s="36"/>
      <c r="T9" s="36"/>
      <c r="U9" s="36"/>
      <c r="W9" s="287" t="s">
        <v>44</v>
      </c>
      <c r="X9" s="287"/>
      <c r="Y9" s="287"/>
      <c r="Z9" s="287"/>
      <c r="AA9" s="287"/>
      <c r="AB9" s="287"/>
      <c r="AC9" s="287"/>
    </row>
    <row r="10" spans="1:33">
      <c r="K10" s="17"/>
      <c r="V10" s="17"/>
      <c r="W10" s="14"/>
      <c r="X10" s="14"/>
      <c r="Y10" s="14"/>
      <c r="Z10" s="14"/>
      <c r="AA10" s="14"/>
      <c r="AB10" s="14"/>
      <c r="AC10" s="14"/>
    </row>
    <row r="11" spans="1:33" ht="15.75" customHeight="1"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33" ht="16.5" customHeight="1" thickBot="1">
      <c r="A12" s="328" t="s">
        <v>36</v>
      </c>
      <c r="B12" s="328"/>
      <c r="C12" s="328"/>
      <c r="D12" s="328"/>
      <c r="E12" s="214"/>
      <c r="K12" s="17"/>
      <c r="L12" s="328" t="s">
        <v>36</v>
      </c>
      <c r="M12" s="328"/>
      <c r="N12" s="328"/>
      <c r="O12" s="328"/>
      <c r="P12" s="214"/>
      <c r="Q12" s="17"/>
      <c r="R12" s="17"/>
      <c r="S12" s="17"/>
      <c r="T12" s="17"/>
      <c r="U12" s="17"/>
      <c r="V12" s="17"/>
      <c r="W12" s="328" t="s">
        <v>48</v>
      </c>
      <c r="X12" s="328"/>
      <c r="Y12" s="328"/>
      <c r="Z12" s="328"/>
      <c r="AA12" s="328"/>
      <c r="AB12" s="328"/>
      <c r="AC12" s="328"/>
      <c r="AD12" s="328"/>
      <c r="AE12" s="328"/>
      <c r="AF12" s="328"/>
      <c r="AG12" s="214"/>
    </row>
    <row r="13" spans="1:33" ht="26.25" customHeight="1" thickTop="1" thickBot="1">
      <c r="A13" s="329" t="s">
        <v>30</v>
      </c>
      <c r="B13" s="215" t="s">
        <v>157</v>
      </c>
      <c r="C13" s="216" t="s">
        <v>69</v>
      </c>
      <c r="D13" s="217" t="s">
        <v>158</v>
      </c>
      <c r="E13" s="214"/>
      <c r="K13" s="17"/>
      <c r="L13" s="329" t="s">
        <v>30</v>
      </c>
      <c r="M13" s="215" t="s">
        <v>123</v>
      </c>
      <c r="N13" s="216" t="s">
        <v>124</v>
      </c>
      <c r="O13" s="217" t="s">
        <v>125</v>
      </c>
      <c r="P13" s="214"/>
      <c r="Q13" s="17"/>
      <c r="R13" s="17"/>
      <c r="S13" s="17"/>
      <c r="T13" s="17"/>
      <c r="U13" s="17"/>
      <c r="V13" s="17"/>
      <c r="W13" s="350" t="s">
        <v>30</v>
      </c>
      <c r="X13" s="351"/>
      <c r="Y13" s="356" t="s">
        <v>49</v>
      </c>
      <c r="Z13" s="311"/>
      <c r="AA13" s="311"/>
      <c r="AB13" s="311"/>
      <c r="AC13" s="311"/>
      <c r="AD13" s="311" t="s">
        <v>50</v>
      </c>
      <c r="AE13" s="311" t="s">
        <v>40</v>
      </c>
      <c r="AF13" s="364" t="s">
        <v>51</v>
      </c>
      <c r="AG13" s="214"/>
    </row>
    <row r="14" spans="1:33" ht="16" thickTop="1">
      <c r="A14" s="218" t="s">
        <v>32</v>
      </c>
      <c r="B14" s="219" t="s">
        <v>159</v>
      </c>
      <c r="C14" s="220" t="s">
        <v>160</v>
      </c>
      <c r="D14" s="221" t="s">
        <v>161</v>
      </c>
      <c r="E14" s="214"/>
      <c r="K14" s="17"/>
      <c r="L14" s="218" t="s">
        <v>32</v>
      </c>
      <c r="M14" s="219" t="s">
        <v>174</v>
      </c>
      <c r="N14" s="220" t="s">
        <v>175</v>
      </c>
      <c r="O14" s="221" t="s">
        <v>176</v>
      </c>
      <c r="P14" s="214"/>
      <c r="Q14" s="17"/>
      <c r="R14" s="17"/>
      <c r="S14" s="17"/>
      <c r="T14" s="17"/>
      <c r="U14" s="17"/>
      <c r="V14" s="17"/>
      <c r="W14" s="352"/>
      <c r="X14" s="353"/>
      <c r="Y14" s="339" t="s">
        <v>52</v>
      </c>
      <c r="Z14" s="312" t="s">
        <v>53</v>
      </c>
      <c r="AA14" s="312" t="s">
        <v>54</v>
      </c>
      <c r="AB14" s="312" t="s">
        <v>55</v>
      </c>
      <c r="AC14" s="312"/>
      <c r="AD14" s="312"/>
      <c r="AE14" s="312"/>
      <c r="AF14" s="365"/>
      <c r="AG14" s="214"/>
    </row>
    <row r="15" spans="1:33" ht="40" thickBot="1">
      <c r="A15" s="222" t="s">
        <v>33</v>
      </c>
      <c r="B15" s="223">
        <v>9.9254858453232692E-3</v>
      </c>
      <c r="C15" s="224">
        <v>4.0859843712806328E-2</v>
      </c>
      <c r="D15" s="225">
        <v>0.13915701535950786</v>
      </c>
      <c r="E15" s="214"/>
      <c r="K15" s="17"/>
      <c r="L15" s="222" t="s">
        <v>33</v>
      </c>
      <c r="M15" s="223">
        <v>9.5580704545629405E-2</v>
      </c>
      <c r="N15" s="224">
        <v>0.19364643126922065</v>
      </c>
      <c r="O15" s="225">
        <v>0.73888268036352733</v>
      </c>
      <c r="P15" s="214"/>
      <c r="Q15" s="17"/>
      <c r="R15" s="17"/>
      <c r="S15" s="17"/>
      <c r="T15" s="17"/>
      <c r="U15" s="17"/>
      <c r="W15" s="354"/>
      <c r="X15" s="355"/>
      <c r="Y15" s="340"/>
      <c r="Z15" s="313"/>
      <c r="AA15" s="313"/>
      <c r="AB15" s="239" t="s">
        <v>56</v>
      </c>
      <c r="AC15" s="239" t="s">
        <v>57</v>
      </c>
      <c r="AD15" s="313"/>
      <c r="AE15" s="313"/>
      <c r="AF15" s="366"/>
      <c r="AG15" s="214"/>
    </row>
    <row r="16" spans="1:33" ht="27" thickTop="1">
      <c r="A16" s="330" t="s">
        <v>34</v>
      </c>
      <c r="B16" s="330"/>
      <c r="C16" s="330"/>
      <c r="D16" s="330"/>
      <c r="E16" s="214"/>
      <c r="K16" s="17"/>
      <c r="L16" s="330" t="s">
        <v>34</v>
      </c>
      <c r="M16" s="330"/>
      <c r="N16" s="330"/>
      <c r="O16" s="330"/>
      <c r="P16" s="214"/>
      <c r="Q16" s="17"/>
      <c r="R16" s="17"/>
      <c r="S16" s="17"/>
      <c r="T16" s="17"/>
      <c r="U16" s="17"/>
      <c r="W16" s="240" t="s">
        <v>58</v>
      </c>
      <c r="X16" s="241" t="s">
        <v>129</v>
      </c>
      <c r="Y16" s="260">
        <v>0.27272727272727249</v>
      </c>
      <c r="Z16" s="243">
        <v>2.1019471492361119</v>
      </c>
      <c r="AA16" s="261">
        <v>0.63376091119757727</v>
      </c>
      <c r="AB16" s="243">
        <v>-1.1393800363822721</v>
      </c>
      <c r="AC16" s="243">
        <v>1.6848345818368171</v>
      </c>
      <c r="AD16" s="262">
        <v>0.43033148291193485</v>
      </c>
      <c r="AE16" s="245">
        <v>10</v>
      </c>
      <c r="AF16" s="246">
        <v>0.67608118491827762</v>
      </c>
      <c r="AG16" s="214"/>
    </row>
    <row r="17" spans="1:33" ht="26">
      <c r="A17" s="330" t="s">
        <v>114</v>
      </c>
      <c r="B17" s="330"/>
      <c r="C17" s="330"/>
      <c r="D17" s="330"/>
      <c r="E17" s="214"/>
      <c r="L17" s="330" t="s">
        <v>35</v>
      </c>
      <c r="M17" s="330"/>
      <c r="N17" s="330"/>
      <c r="O17" s="330"/>
      <c r="P17" s="214"/>
      <c r="Q17" s="17"/>
      <c r="R17" s="17"/>
      <c r="S17" s="17"/>
      <c r="T17" s="17"/>
      <c r="U17" s="17"/>
      <c r="W17" s="247" t="s">
        <v>62</v>
      </c>
      <c r="X17" s="248" t="s">
        <v>130</v>
      </c>
      <c r="Y17" s="249">
        <v>-5.1818181818181808</v>
      </c>
      <c r="Z17" s="250">
        <v>3.4876405152533083</v>
      </c>
      <c r="AA17" s="250">
        <v>1.0515631811579094</v>
      </c>
      <c r="AB17" s="250">
        <v>-7.5248469610743989</v>
      </c>
      <c r="AC17" s="250">
        <v>-2.8387894025619622</v>
      </c>
      <c r="AD17" s="252">
        <v>-4.9277288085650905</v>
      </c>
      <c r="AE17" s="253">
        <v>10</v>
      </c>
      <c r="AF17" s="254">
        <v>5.979567397290744E-4</v>
      </c>
      <c r="AG17" s="214"/>
    </row>
    <row r="18" spans="1:33" ht="27" thickBot="1">
      <c r="A18" s="330" t="s">
        <v>115</v>
      </c>
      <c r="B18" s="330"/>
      <c r="C18" s="330"/>
      <c r="D18" s="330"/>
      <c r="E18" s="214"/>
      <c r="L18" s="330" t="s">
        <v>78</v>
      </c>
      <c r="M18" s="330"/>
      <c r="N18" s="330"/>
      <c r="O18" s="330"/>
      <c r="P18" s="214"/>
      <c r="W18" s="255" t="s">
        <v>63</v>
      </c>
      <c r="X18" s="256" t="s">
        <v>131</v>
      </c>
      <c r="Y18" s="263">
        <v>4.9090909090909083</v>
      </c>
      <c r="Z18" s="258">
        <v>3.9611752158808997</v>
      </c>
      <c r="AA18" s="258">
        <v>1.1943392654483631</v>
      </c>
      <c r="AB18" s="258">
        <v>2.2479371892926627</v>
      </c>
      <c r="AC18" s="258">
        <v>7.5702446288891538</v>
      </c>
      <c r="AD18" s="264">
        <v>4.1102985149265789</v>
      </c>
      <c r="AE18" s="259">
        <v>10</v>
      </c>
      <c r="AF18" s="225">
        <v>2.1095445659081394E-3</v>
      </c>
      <c r="AG18" s="238"/>
    </row>
    <row r="19" spans="1:33" ht="16" thickTop="1">
      <c r="W19" s="14"/>
      <c r="X19" s="14"/>
      <c r="Y19" s="14"/>
      <c r="Z19" s="14"/>
      <c r="AA19" s="14"/>
      <c r="AB19" s="14"/>
      <c r="AC19" s="14"/>
    </row>
    <row r="20" spans="1:33">
      <c r="W20" s="14"/>
      <c r="X20" s="14"/>
      <c r="Y20" s="14"/>
      <c r="Z20" s="14"/>
      <c r="AA20" s="14"/>
      <c r="AB20" s="14"/>
      <c r="AC20" s="14"/>
    </row>
    <row r="28" spans="1:33" ht="16" thickBot="1">
      <c r="A28" s="344" t="s">
        <v>37</v>
      </c>
      <c r="B28" s="344"/>
      <c r="C28" s="344"/>
      <c r="D28" s="344"/>
      <c r="E28" s="344"/>
      <c r="F28" s="344"/>
      <c r="G28" s="344"/>
      <c r="H28" s="15"/>
      <c r="I28" s="15"/>
      <c r="J28" s="15"/>
      <c r="L28" s="332" t="s">
        <v>37</v>
      </c>
      <c r="M28" s="332"/>
      <c r="N28" s="332"/>
      <c r="O28" s="332"/>
      <c r="P28" s="332"/>
      <c r="Q28" s="332"/>
      <c r="R28" s="332"/>
      <c r="S28" s="94"/>
      <c r="T28" s="94"/>
      <c r="U28" s="94"/>
      <c r="V28" s="94"/>
      <c r="X28" s="331" t="s">
        <v>37</v>
      </c>
      <c r="Y28" s="331"/>
      <c r="Z28" s="331"/>
      <c r="AA28" s="331"/>
      <c r="AB28" s="331"/>
      <c r="AC28" s="331"/>
      <c r="AD28" s="331"/>
    </row>
    <row r="29" spans="1:33" ht="16" thickTop="1">
      <c r="A29" s="345" t="s">
        <v>30</v>
      </c>
      <c r="B29" s="347" t="s">
        <v>45</v>
      </c>
      <c r="C29" s="348"/>
      <c r="D29" s="348"/>
      <c r="E29" s="348" t="s">
        <v>38</v>
      </c>
      <c r="F29" s="348"/>
      <c r="G29" s="349"/>
      <c r="H29" s="15"/>
      <c r="I29" s="15"/>
      <c r="J29" s="15"/>
      <c r="L29" s="309" t="s">
        <v>30</v>
      </c>
      <c r="M29" s="341" t="s">
        <v>45</v>
      </c>
      <c r="N29" s="342"/>
      <c r="O29" s="342"/>
      <c r="P29" s="342" t="s">
        <v>38</v>
      </c>
      <c r="Q29" s="342"/>
      <c r="R29" s="343"/>
      <c r="S29" s="94"/>
      <c r="T29" s="94"/>
      <c r="U29" s="94"/>
      <c r="V29" s="94"/>
      <c r="X29" s="334" t="s">
        <v>30</v>
      </c>
      <c r="Y29" s="336" t="s">
        <v>45</v>
      </c>
      <c r="Z29" s="337"/>
      <c r="AA29" s="337"/>
      <c r="AB29" s="337" t="s">
        <v>38</v>
      </c>
      <c r="AC29" s="337"/>
      <c r="AD29" s="338"/>
    </row>
    <row r="30" spans="1:33" ht="16" thickBot="1">
      <c r="A30" s="346"/>
      <c r="B30" s="76" t="s">
        <v>39</v>
      </c>
      <c r="C30" s="77" t="s">
        <v>40</v>
      </c>
      <c r="D30" s="77" t="s">
        <v>41</v>
      </c>
      <c r="E30" s="77" t="s">
        <v>39</v>
      </c>
      <c r="F30" s="77" t="s">
        <v>40</v>
      </c>
      <c r="G30" s="78" t="s">
        <v>41</v>
      </c>
      <c r="H30" s="15"/>
      <c r="I30" s="15"/>
      <c r="J30" s="15"/>
      <c r="L30" s="310"/>
      <c r="M30" s="95" t="s">
        <v>39</v>
      </c>
      <c r="N30" s="96" t="s">
        <v>40</v>
      </c>
      <c r="O30" s="96" t="s">
        <v>41</v>
      </c>
      <c r="P30" s="96" t="s">
        <v>39</v>
      </c>
      <c r="Q30" s="96" t="s">
        <v>40</v>
      </c>
      <c r="R30" s="97" t="s">
        <v>41</v>
      </c>
      <c r="S30" s="94"/>
      <c r="T30" s="94"/>
      <c r="U30" s="94"/>
      <c r="V30" s="94"/>
      <c r="X30" s="335"/>
      <c r="Y30" s="115" t="s">
        <v>39</v>
      </c>
      <c r="Z30" s="116" t="s">
        <v>40</v>
      </c>
      <c r="AA30" s="116" t="s">
        <v>41</v>
      </c>
      <c r="AB30" s="116" t="s">
        <v>39</v>
      </c>
      <c r="AC30" s="116" t="s">
        <v>40</v>
      </c>
      <c r="AD30" s="117" t="s">
        <v>41</v>
      </c>
    </row>
    <row r="31" spans="1:33" ht="16" thickTop="1">
      <c r="A31" s="79" t="s">
        <v>79</v>
      </c>
      <c r="B31" s="80">
        <v>0.20981107380763664</v>
      </c>
      <c r="C31" s="81">
        <v>11</v>
      </c>
      <c r="D31" s="82">
        <v>0.1909446309618168</v>
      </c>
      <c r="E31" s="82">
        <v>0.83471125902258747</v>
      </c>
      <c r="F31" s="81">
        <v>11</v>
      </c>
      <c r="G31" s="83">
        <v>2.6919747915766064E-2</v>
      </c>
      <c r="H31" s="15"/>
      <c r="I31" s="15"/>
      <c r="J31" s="15"/>
      <c r="L31" s="98" t="s">
        <v>82</v>
      </c>
      <c r="M31" s="99">
        <v>0.32968670912308318</v>
      </c>
      <c r="N31" s="100">
        <v>11</v>
      </c>
      <c r="O31" s="101">
        <v>1.4846820417541526E-3</v>
      </c>
      <c r="P31" s="101">
        <v>0.75438434304557722</v>
      </c>
      <c r="Q31" s="100">
        <v>11</v>
      </c>
      <c r="R31" s="102">
        <v>2.371370515729998E-3</v>
      </c>
      <c r="S31" s="94"/>
      <c r="T31" s="94"/>
      <c r="U31" s="94"/>
      <c r="V31" s="94"/>
      <c r="X31" s="118" t="s">
        <v>85</v>
      </c>
      <c r="Y31" s="119">
        <v>0.28262896565516304</v>
      </c>
      <c r="Z31" s="120">
        <v>11</v>
      </c>
      <c r="AA31" s="121">
        <v>1.4243575373575658E-2</v>
      </c>
      <c r="AB31" s="121">
        <v>0.84602932639548334</v>
      </c>
      <c r="AC31" s="120">
        <v>11</v>
      </c>
      <c r="AD31" s="122">
        <v>3.7873892987250322E-2</v>
      </c>
    </row>
    <row r="32" spans="1:33">
      <c r="A32" s="84" t="s">
        <v>80</v>
      </c>
      <c r="B32" s="85">
        <v>0.21633180341712011</v>
      </c>
      <c r="C32" s="86">
        <v>11</v>
      </c>
      <c r="D32" s="87">
        <v>0.15834098291439946</v>
      </c>
      <c r="E32" s="87">
        <v>0.8395077825447167</v>
      </c>
      <c r="F32" s="86">
        <v>11</v>
      </c>
      <c r="G32" s="88">
        <v>3.1115495843290954E-2</v>
      </c>
      <c r="H32" s="15"/>
      <c r="I32" s="15"/>
      <c r="J32" s="15"/>
      <c r="L32" s="103" t="s">
        <v>83</v>
      </c>
      <c r="M32" s="104">
        <v>0.26250132980852853</v>
      </c>
      <c r="N32" s="105">
        <v>11</v>
      </c>
      <c r="O32" s="106">
        <v>3.2876350394417657E-2</v>
      </c>
      <c r="P32" s="106">
        <v>0.8294887509379284</v>
      </c>
      <c r="Q32" s="105">
        <v>11</v>
      </c>
      <c r="R32" s="107">
        <v>2.2987309352190326E-2</v>
      </c>
      <c r="S32" s="94"/>
      <c r="T32" s="94"/>
      <c r="U32" s="94"/>
      <c r="V32" s="94"/>
      <c r="X32" s="123" t="s">
        <v>86</v>
      </c>
      <c r="Y32" s="124">
        <v>0.14267195745469696</v>
      </c>
      <c r="Z32" s="125">
        <v>11</v>
      </c>
      <c r="AA32" s="126" t="s">
        <v>77</v>
      </c>
      <c r="AB32" s="127">
        <v>0.96665686565514231</v>
      </c>
      <c r="AC32" s="125">
        <v>11</v>
      </c>
      <c r="AD32" s="128">
        <v>0.85093052697585514</v>
      </c>
    </row>
    <row r="33" spans="1:34" ht="16" thickBot="1">
      <c r="A33" s="89" t="s">
        <v>81</v>
      </c>
      <c r="B33" s="90">
        <v>0.26496915494368406</v>
      </c>
      <c r="C33" s="91">
        <v>11</v>
      </c>
      <c r="D33" s="92">
        <v>2.9797043876005194E-2</v>
      </c>
      <c r="E33" s="92">
        <v>0.81855000693233082</v>
      </c>
      <c r="F33" s="91">
        <v>11</v>
      </c>
      <c r="G33" s="93">
        <v>1.6505672804419717E-2</v>
      </c>
      <c r="H33" s="15"/>
      <c r="I33" s="15"/>
      <c r="J33" s="15"/>
      <c r="L33" s="108" t="s">
        <v>84</v>
      </c>
      <c r="M33" s="109">
        <v>0.18282952189809204</v>
      </c>
      <c r="N33" s="110">
        <v>11</v>
      </c>
      <c r="O33" s="111" t="s">
        <v>77</v>
      </c>
      <c r="P33" s="112">
        <v>0.90914160869874183</v>
      </c>
      <c r="Q33" s="110">
        <v>11</v>
      </c>
      <c r="R33" s="113">
        <v>0.23824218614275103</v>
      </c>
      <c r="S33" s="94"/>
      <c r="T33" s="94"/>
      <c r="U33" s="94"/>
      <c r="V33" s="94"/>
      <c r="X33" s="129" t="s">
        <v>87</v>
      </c>
      <c r="Y33" s="130">
        <v>0.20057346413940152</v>
      </c>
      <c r="Z33" s="131">
        <v>11</v>
      </c>
      <c r="AA33" s="132" t="s">
        <v>77</v>
      </c>
      <c r="AB33" s="133">
        <v>0.86468752457536424</v>
      </c>
      <c r="AC33" s="131">
        <v>11</v>
      </c>
      <c r="AD33" s="134">
        <v>6.6215927553282553E-2</v>
      </c>
    </row>
    <row r="34" spans="1:34" ht="16" thickTop="1">
      <c r="A34" s="333" t="s">
        <v>44</v>
      </c>
      <c r="B34" s="333"/>
      <c r="C34" s="333"/>
      <c r="D34" s="333"/>
      <c r="E34" s="333"/>
      <c r="F34" s="333"/>
      <c r="G34" s="333"/>
      <c r="H34" s="15"/>
      <c r="I34" s="15"/>
      <c r="J34" s="15"/>
      <c r="L34" s="295" t="s">
        <v>76</v>
      </c>
      <c r="M34" s="295"/>
      <c r="N34" s="295"/>
      <c r="O34" s="295"/>
      <c r="P34" s="295"/>
      <c r="Q34" s="295"/>
      <c r="R34" s="295"/>
      <c r="S34" s="94"/>
      <c r="T34" s="94"/>
      <c r="U34" s="94"/>
      <c r="V34" s="94"/>
      <c r="X34" s="286" t="s">
        <v>76</v>
      </c>
      <c r="Y34" s="286"/>
      <c r="Z34" s="286"/>
      <c r="AA34" s="286"/>
      <c r="AB34" s="286"/>
      <c r="AC34" s="286"/>
      <c r="AD34" s="286"/>
    </row>
    <row r="35" spans="1:34">
      <c r="A35" s="15"/>
      <c r="B35" s="15"/>
      <c r="C35" s="15"/>
      <c r="D35" s="15"/>
      <c r="E35" s="15"/>
      <c r="F35" s="15"/>
      <c r="G35" s="15"/>
      <c r="H35" s="15"/>
      <c r="I35" s="15"/>
      <c r="J35" s="15"/>
      <c r="L35" s="295" t="s">
        <v>44</v>
      </c>
      <c r="M35" s="295"/>
      <c r="N35" s="295"/>
      <c r="O35" s="295"/>
      <c r="P35" s="295"/>
      <c r="Q35" s="295"/>
      <c r="R35" s="295"/>
      <c r="S35" s="94"/>
      <c r="T35" s="94"/>
      <c r="U35" s="94"/>
      <c r="V35" s="94"/>
      <c r="X35" s="286" t="s">
        <v>44</v>
      </c>
      <c r="Y35" s="286"/>
      <c r="Z35" s="286"/>
      <c r="AA35" s="286"/>
      <c r="AB35" s="286"/>
      <c r="AC35" s="286"/>
      <c r="AD35" s="286"/>
    </row>
    <row r="36" spans="1:34">
      <c r="K36" s="17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X36" s="135"/>
      <c r="Y36" s="135"/>
      <c r="Z36" s="135"/>
      <c r="AA36" s="135"/>
      <c r="AB36" s="135"/>
      <c r="AC36" s="135"/>
      <c r="AD36" s="135"/>
    </row>
    <row r="37" spans="1:34" ht="16.5" customHeight="1" thickBot="1">
      <c r="A37" s="328" t="s">
        <v>36</v>
      </c>
      <c r="B37" s="328"/>
      <c r="C37" s="328"/>
      <c r="D37" s="328"/>
      <c r="E37" s="214"/>
      <c r="K37" s="17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114"/>
    </row>
    <row r="38" spans="1:34" ht="26.25" customHeight="1" thickTop="1" thickBot="1">
      <c r="A38" s="329" t="s">
        <v>30</v>
      </c>
      <c r="B38" s="215" t="s">
        <v>151</v>
      </c>
      <c r="C38" s="216" t="s">
        <v>152</v>
      </c>
      <c r="D38" s="217" t="s">
        <v>153</v>
      </c>
      <c r="E38" s="214"/>
      <c r="K38" s="17"/>
      <c r="V38" s="195"/>
      <c r="X38" s="328" t="s">
        <v>48</v>
      </c>
      <c r="Y38" s="328"/>
      <c r="Z38" s="328"/>
      <c r="AA38" s="328"/>
      <c r="AB38" s="328"/>
      <c r="AC38" s="328"/>
      <c r="AD38" s="328"/>
      <c r="AE38" s="328"/>
      <c r="AF38" s="328"/>
      <c r="AG38" s="328"/>
      <c r="AH38" s="214"/>
    </row>
    <row r="39" spans="1:34" ht="16.5" customHeight="1" thickTop="1">
      <c r="A39" s="218" t="s">
        <v>32</v>
      </c>
      <c r="B39" s="219" t="s">
        <v>154</v>
      </c>
      <c r="C39" s="220" t="s">
        <v>155</v>
      </c>
      <c r="D39" s="221" t="s">
        <v>156</v>
      </c>
      <c r="E39" s="214"/>
      <c r="K39" s="17"/>
      <c r="V39" s="195"/>
      <c r="X39" s="350" t="s">
        <v>30</v>
      </c>
      <c r="Y39" s="351"/>
      <c r="Z39" s="356" t="s">
        <v>49</v>
      </c>
      <c r="AA39" s="311"/>
      <c r="AB39" s="311"/>
      <c r="AC39" s="311"/>
      <c r="AD39" s="311"/>
      <c r="AE39" s="311" t="s">
        <v>50</v>
      </c>
      <c r="AF39" s="311" t="s">
        <v>40</v>
      </c>
      <c r="AG39" s="364" t="s">
        <v>51</v>
      </c>
      <c r="AH39" s="214"/>
    </row>
    <row r="40" spans="1:34" ht="41" thickBot="1">
      <c r="A40" s="222" t="s">
        <v>33</v>
      </c>
      <c r="B40" s="223">
        <v>2.9302504919565195E-2</v>
      </c>
      <c r="C40" s="224">
        <v>6.6652647985229437E-3</v>
      </c>
      <c r="D40" s="225">
        <v>0.32806478170083681</v>
      </c>
      <c r="E40" s="214"/>
      <c r="K40" s="17"/>
      <c r="L40" s="328" t="s">
        <v>36</v>
      </c>
      <c r="M40" s="328"/>
      <c r="N40" s="328"/>
      <c r="O40" s="328"/>
      <c r="P40" s="214"/>
      <c r="V40" s="195"/>
      <c r="X40" s="352"/>
      <c r="Y40" s="353"/>
      <c r="Z40" s="339" t="s">
        <v>52</v>
      </c>
      <c r="AA40" s="312" t="s">
        <v>53</v>
      </c>
      <c r="AB40" s="312" t="s">
        <v>54</v>
      </c>
      <c r="AC40" s="312" t="s">
        <v>55</v>
      </c>
      <c r="AD40" s="312"/>
      <c r="AE40" s="312"/>
      <c r="AF40" s="312"/>
      <c r="AG40" s="365"/>
      <c r="AH40" s="214"/>
    </row>
    <row r="41" spans="1:34" ht="25.5" customHeight="1" thickTop="1" thickBot="1">
      <c r="A41" s="330" t="s">
        <v>34</v>
      </c>
      <c r="B41" s="330"/>
      <c r="C41" s="330"/>
      <c r="D41" s="330"/>
      <c r="E41" s="214"/>
      <c r="K41" s="17"/>
      <c r="L41" s="329" t="s">
        <v>30</v>
      </c>
      <c r="M41" s="215" t="s">
        <v>120</v>
      </c>
      <c r="N41" s="216" t="s">
        <v>165</v>
      </c>
      <c r="O41" s="217" t="s">
        <v>166</v>
      </c>
      <c r="P41" s="214"/>
      <c r="V41" s="195"/>
      <c r="X41" s="354"/>
      <c r="Y41" s="355"/>
      <c r="Z41" s="340"/>
      <c r="AA41" s="313"/>
      <c r="AB41" s="313"/>
      <c r="AC41" s="239" t="s">
        <v>56</v>
      </c>
      <c r="AD41" s="239" t="s">
        <v>57</v>
      </c>
      <c r="AE41" s="313"/>
      <c r="AF41" s="313"/>
      <c r="AG41" s="366"/>
      <c r="AH41" s="214"/>
    </row>
    <row r="42" spans="1:34" ht="25.5" customHeight="1" thickTop="1" thickBot="1">
      <c r="A42" s="330" t="s">
        <v>35</v>
      </c>
      <c r="B42" s="330"/>
      <c r="C42" s="330"/>
      <c r="D42" s="330"/>
      <c r="E42" s="214"/>
      <c r="K42" s="17"/>
      <c r="L42" s="218" t="s">
        <v>32</v>
      </c>
      <c r="M42" s="219" t="s">
        <v>167</v>
      </c>
      <c r="N42" s="220" t="s">
        <v>168</v>
      </c>
      <c r="O42" s="221" t="s">
        <v>169</v>
      </c>
      <c r="P42" s="214"/>
      <c r="V42" s="195"/>
      <c r="X42" s="265" t="s">
        <v>58</v>
      </c>
      <c r="Y42" s="266" t="s">
        <v>177</v>
      </c>
      <c r="Z42" s="267">
        <v>1.9090909090909092</v>
      </c>
      <c r="AA42" s="268">
        <v>2.7001683449202001</v>
      </c>
      <c r="AB42" s="269">
        <v>0.81413138826320408</v>
      </c>
      <c r="AC42" s="269">
        <v>9.5093132280142267E-2</v>
      </c>
      <c r="AD42" s="268">
        <v>3.7230886859016761</v>
      </c>
      <c r="AE42" s="270">
        <v>2.3449420285386551</v>
      </c>
      <c r="AF42" s="271">
        <v>10</v>
      </c>
      <c r="AG42" s="272">
        <v>4.0992697019026886E-2</v>
      </c>
      <c r="AH42" s="214"/>
    </row>
    <row r="43" spans="1:34" ht="15.75" customHeight="1" thickTop="1" thickBot="1">
      <c r="A43" s="330" t="s">
        <v>78</v>
      </c>
      <c r="B43" s="330"/>
      <c r="C43" s="330"/>
      <c r="D43" s="330"/>
      <c r="E43" s="214"/>
      <c r="L43" s="222" t="s">
        <v>33</v>
      </c>
      <c r="M43" s="223">
        <v>0.28778739015415017</v>
      </c>
      <c r="N43" s="224">
        <v>0.25550882029402849</v>
      </c>
      <c r="O43" s="225">
        <v>0.73888268036352733</v>
      </c>
      <c r="P43" s="214"/>
      <c r="V43" s="94"/>
    </row>
    <row r="44" spans="1:34" ht="17" thickTop="1" thickBot="1">
      <c r="L44" s="330" t="s">
        <v>34</v>
      </c>
      <c r="M44" s="330"/>
      <c r="N44" s="330"/>
      <c r="O44" s="330"/>
      <c r="P44" s="214"/>
      <c r="V44" s="94"/>
      <c r="X44" s="328" t="s">
        <v>36</v>
      </c>
      <c r="Y44" s="328"/>
      <c r="Z44" s="328"/>
    </row>
    <row r="45" spans="1:34" ht="29" thickTop="1" thickBot="1">
      <c r="L45" s="330" t="s">
        <v>114</v>
      </c>
      <c r="M45" s="330"/>
      <c r="N45" s="330"/>
      <c r="O45" s="330"/>
      <c r="P45" s="214"/>
      <c r="V45" s="94"/>
      <c r="X45" s="329" t="s">
        <v>30</v>
      </c>
      <c r="Y45" s="215" t="s">
        <v>178</v>
      </c>
      <c r="Z45" s="217" t="s">
        <v>179</v>
      </c>
    </row>
    <row r="46" spans="1:34" ht="16" thickTop="1">
      <c r="L46" s="330" t="s">
        <v>115</v>
      </c>
      <c r="M46" s="330"/>
      <c r="N46" s="330"/>
      <c r="O46" s="330"/>
      <c r="P46" s="214"/>
      <c r="V46" s="94"/>
      <c r="X46" s="218" t="s">
        <v>32</v>
      </c>
      <c r="Y46" s="219" t="s">
        <v>180</v>
      </c>
      <c r="Z46" s="221" t="s">
        <v>181</v>
      </c>
    </row>
    <row r="47" spans="1:34" ht="15.75" customHeight="1" thickBot="1">
      <c r="V47" s="94"/>
      <c r="X47" s="222" t="s">
        <v>33</v>
      </c>
      <c r="Y47" s="223">
        <v>7.3897055107592743E-2</v>
      </c>
      <c r="Z47" s="225">
        <v>0.4027836942464757</v>
      </c>
    </row>
    <row r="48" spans="1:34" ht="15" customHeight="1" thickTop="1">
      <c r="V48" s="94"/>
      <c r="X48" s="330" t="s">
        <v>34</v>
      </c>
      <c r="Y48" s="330"/>
      <c r="Z48" s="330"/>
    </row>
    <row r="49" spans="1:34" ht="15" customHeight="1">
      <c r="V49" s="94"/>
      <c r="X49" s="330" t="s">
        <v>35</v>
      </c>
      <c r="Y49" s="330"/>
      <c r="Z49" s="330"/>
    </row>
    <row r="52" spans="1:34" ht="16" thickBot="1">
      <c r="A52" s="357" t="s">
        <v>37</v>
      </c>
      <c r="B52" s="357"/>
      <c r="C52" s="357"/>
      <c r="D52" s="357"/>
      <c r="E52" s="357"/>
      <c r="F52" s="357"/>
      <c r="G52" s="357"/>
      <c r="H52" s="136"/>
      <c r="I52" s="136"/>
      <c r="L52" s="315" t="s">
        <v>37</v>
      </c>
      <c r="M52" s="315"/>
      <c r="N52" s="315"/>
      <c r="O52" s="315"/>
      <c r="P52" s="315"/>
      <c r="Q52" s="315"/>
      <c r="R52" s="315"/>
      <c r="S52" s="155"/>
      <c r="T52" s="155"/>
      <c r="U52" s="155"/>
      <c r="X52" s="322" t="s">
        <v>37</v>
      </c>
      <c r="Y52" s="322"/>
      <c r="Z52" s="322"/>
      <c r="AA52" s="322"/>
      <c r="AB52" s="322"/>
      <c r="AC52" s="322"/>
      <c r="AD52" s="322"/>
    </row>
    <row r="53" spans="1:34" ht="16" thickTop="1">
      <c r="A53" s="358" t="s">
        <v>30</v>
      </c>
      <c r="B53" s="360" t="s">
        <v>45</v>
      </c>
      <c r="C53" s="361"/>
      <c r="D53" s="361"/>
      <c r="E53" s="361" t="s">
        <v>38</v>
      </c>
      <c r="F53" s="361"/>
      <c r="G53" s="362"/>
      <c r="H53" s="136"/>
      <c r="I53" s="136"/>
      <c r="L53" s="316" t="s">
        <v>30</v>
      </c>
      <c r="M53" s="318" t="s">
        <v>45</v>
      </c>
      <c r="N53" s="319"/>
      <c r="O53" s="319"/>
      <c r="P53" s="319" t="s">
        <v>38</v>
      </c>
      <c r="Q53" s="319"/>
      <c r="R53" s="320"/>
      <c r="S53" s="155"/>
      <c r="T53" s="155"/>
      <c r="U53" s="155"/>
      <c r="X53" s="323" t="s">
        <v>30</v>
      </c>
      <c r="Y53" s="325" t="s">
        <v>45</v>
      </c>
      <c r="Z53" s="326"/>
      <c r="AA53" s="326"/>
      <c r="AB53" s="326" t="s">
        <v>38</v>
      </c>
      <c r="AC53" s="326"/>
      <c r="AD53" s="327"/>
    </row>
    <row r="54" spans="1:34" ht="16" thickBot="1">
      <c r="A54" s="359"/>
      <c r="B54" s="137" t="s">
        <v>39</v>
      </c>
      <c r="C54" s="138" t="s">
        <v>40</v>
      </c>
      <c r="D54" s="138" t="s">
        <v>41</v>
      </c>
      <c r="E54" s="138" t="s">
        <v>39</v>
      </c>
      <c r="F54" s="138" t="s">
        <v>40</v>
      </c>
      <c r="G54" s="139" t="s">
        <v>41</v>
      </c>
      <c r="H54" s="136"/>
      <c r="I54" s="136"/>
      <c r="L54" s="317"/>
      <c r="M54" s="156" t="s">
        <v>39</v>
      </c>
      <c r="N54" s="157" t="s">
        <v>40</v>
      </c>
      <c r="O54" s="157" t="s">
        <v>41</v>
      </c>
      <c r="P54" s="157" t="s">
        <v>39</v>
      </c>
      <c r="Q54" s="157" t="s">
        <v>40</v>
      </c>
      <c r="R54" s="158" t="s">
        <v>41</v>
      </c>
      <c r="S54" s="155"/>
      <c r="T54" s="155"/>
      <c r="U54" s="155"/>
      <c r="X54" s="324"/>
      <c r="Y54" s="174" t="s">
        <v>39</v>
      </c>
      <c r="Z54" s="175" t="s">
        <v>40</v>
      </c>
      <c r="AA54" s="175" t="s">
        <v>41</v>
      </c>
      <c r="AB54" s="175" t="s">
        <v>39</v>
      </c>
      <c r="AC54" s="175" t="s">
        <v>40</v>
      </c>
      <c r="AD54" s="176" t="s">
        <v>41</v>
      </c>
    </row>
    <row r="55" spans="1:34" ht="16" thickTop="1">
      <c r="A55" s="140" t="s">
        <v>46</v>
      </c>
      <c r="B55" s="141">
        <v>0.37738681601002966</v>
      </c>
      <c r="C55" s="142">
        <v>11</v>
      </c>
      <c r="D55" s="143">
        <v>9.6950609942855593E-5</v>
      </c>
      <c r="E55" s="143">
        <v>0.67113783526772464</v>
      </c>
      <c r="F55" s="142">
        <v>11</v>
      </c>
      <c r="G55" s="144">
        <v>1.9983209058544387E-4</v>
      </c>
      <c r="H55" s="136"/>
      <c r="I55" s="136"/>
      <c r="L55" s="159" t="s">
        <v>42</v>
      </c>
      <c r="M55" s="160">
        <v>0.25125713768092472</v>
      </c>
      <c r="N55" s="161">
        <v>11</v>
      </c>
      <c r="O55" s="162">
        <v>5.0700841821580106E-2</v>
      </c>
      <c r="P55" s="162">
        <v>0.92027066562075766</v>
      </c>
      <c r="Q55" s="161">
        <v>11</v>
      </c>
      <c r="R55" s="163">
        <v>0.32090083209019926</v>
      </c>
      <c r="S55" s="155"/>
      <c r="T55" s="155"/>
      <c r="U55" s="155"/>
      <c r="X55" s="177" t="s">
        <v>60</v>
      </c>
      <c r="Y55" s="178">
        <v>0.21944655286558962</v>
      </c>
      <c r="Z55" s="179">
        <v>11</v>
      </c>
      <c r="AA55" s="180">
        <v>0.14489753299293739</v>
      </c>
      <c r="AB55" s="180">
        <v>0.94411044645053965</v>
      </c>
      <c r="AC55" s="179">
        <v>11</v>
      </c>
      <c r="AD55" s="181">
        <v>0.56995450851307528</v>
      </c>
    </row>
    <row r="56" spans="1:34">
      <c r="A56" s="145" t="s">
        <v>47</v>
      </c>
      <c r="B56" s="146">
        <v>0.28967955651416133</v>
      </c>
      <c r="C56" s="147">
        <v>11</v>
      </c>
      <c r="D56" s="148">
        <v>1.0431040338935868E-2</v>
      </c>
      <c r="E56" s="148">
        <v>0.72479160435046586</v>
      </c>
      <c r="F56" s="147">
        <v>11</v>
      </c>
      <c r="G56" s="149">
        <v>9.772451989255586E-4</v>
      </c>
      <c r="H56" s="136"/>
      <c r="I56" s="136"/>
      <c r="L56" s="164" t="s">
        <v>43</v>
      </c>
      <c r="M56" s="165">
        <v>0.33166141287254552</v>
      </c>
      <c r="N56" s="166">
        <v>11</v>
      </c>
      <c r="O56" s="167">
        <v>1.3377115359543875E-3</v>
      </c>
      <c r="P56" s="167">
        <v>0.75612824450846738</v>
      </c>
      <c r="Q56" s="166">
        <v>11</v>
      </c>
      <c r="R56" s="168">
        <v>2.4990840392588171E-3</v>
      </c>
      <c r="S56" s="155"/>
      <c r="T56" s="155"/>
      <c r="U56" s="155"/>
      <c r="X56" s="182" t="s">
        <v>59</v>
      </c>
      <c r="Y56" s="183">
        <v>0.178584356926134</v>
      </c>
      <c r="Z56" s="184">
        <v>11</v>
      </c>
      <c r="AA56" s="185" t="s">
        <v>77</v>
      </c>
      <c r="AB56" s="186">
        <v>0.91577680947886608</v>
      </c>
      <c r="AC56" s="184">
        <v>11</v>
      </c>
      <c r="AD56" s="187">
        <v>0.28501891338757651</v>
      </c>
    </row>
    <row r="57" spans="1:34" ht="16" thickBot="1">
      <c r="A57" s="150" t="s">
        <v>64</v>
      </c>
      <c r="B57" s="151">
        <v>0.32099197990948064</v>
      </c>
      <c r="C57" s="152">
        <v>11</v>
      </c>
      <c r="D57" s="153">
        <v>2.3284709463216326E-3</v>
      </c>
      <c r="E57" s="153">
        <v>0.52069843709309793</v>
      </c>
      <c r="F57" s="152">
        <v>11</v>
      </c>
      <c r="G57" s="154">
        <v>2.6985773081661863E-6</v>
      </c>
      <c r="H57" s="136"/>
      <c r="I57" s="136"/>
      <c r="L57" s="169" t="s">
        <v>65</v>
      </c>
      <c r="M57" s="170">
        <v>0.35889155329769779</v>
      </c>
      <c r="N57" s="171">
        <v>11</v>
      </c>
      <c r="O57" s="172">
        <v>2.9425518653678455E-4</v>
      </c>
      <c r="P57" s="172">
        <v>0.73106603920028568</v>
      </c>
      <c r="Q57" s="171">
        <v>11</v>
      </c>
      <c r="R57" s="173">
        <v>1.1786048736802774E-3</v>
      </c>
      <c r="S57" s="155"/>
      <c r="T57" s="155"/>
      <c r="U57" s="155"/>
      <c r="X57" s="188" t="s">
        <v>61</v>
      </c>
      <c r="Y57" s="189">
        <v>0.24048222133541219</v>
      </c>
      <c r="Z57" s="190">
        <v>11</v>
      </c>
      <c r="AA57" s="191">
        <v>7.5047814638195168E-2</v>
      </c>
      <c r="AB57" s="191">
        <v>0.89091634915968809</v>
      </c>
      <c r="AC57" s="190">
        <v>11</v>
      </c>
      <c r="AD57" s="192">
        <v>0.14277939508589479</v>
      </c>
    </row>
    <row r="58" spans="1:34" ht="15.75" customHeight="1" thickTop="1">
      <c r="A58" s="363" t="s">
        <v>44</v>
      </c>
      <c r="B58" s="363"/>
      <c r="C58" s="363"/>
      <c r="D58" s="363"/>
      <c r="E58" s="363"/>
      <c r="F58" s="363"/>
      <c r="G58" s="363"/>
      <c r="H58" s="136"/>
      <c r="I58" s="136"/>
      <c r="L58" s="321" t="s">
        <v>44</v>
      </c>
      <c r="M58" s="321"/>
      <c r="N58" s="321"/>
      <c r="O58" s="321"/>
      <c r="P58" s="321"/>
      <c r="Q58" s="321"/>
      <c r="R58" s="321"/>
      <c r="S58" s="155"/>
      <c r="T58" s="155"/>
      <c r="U58" s="155"/>
      <c r="X58" s="314" t="s">
        <v>76</v>
      </c>
      <c r="Y58" s="314"/>
      <c r="Z58" s="314"/>
      <c r="AA58" s="314"/>
      <c r="AB58" s="314"/>
      <c r="AC58" s="314"/>
      <c r="AD58" s="314"/>
    </row>
    <row r="59" spans="1:34">
      <c r="A59" s="136"/>
      <c r="B59" s="136"/>
      <c r="C59" s="136"/>
      <c r="D59" s="136"/>
      <c r="E59" s="136"/>
      <c r="F59" s="136"/>
      <c r="G59" s="136"/>
      <c r="H59" s="136"/>
      <c r="I59" s="136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X59" s="314" t="s">
        <v>44</v>
      </c>
      <c r="Y59" s="314"/>
      <c r="Z59" s="314"/>
      <c r="AA59" s="314"/>
      <c r="AB59" s="314"/>
      <c r="AC59" s="314"/>
      <c r="AD59" s="314"/>
    </row>
    <row r="60" spans="1:34">
      <c r="A60" s="136"/>
      <c r="B60" s="136"/>
      <c r="C60" s="136"/>
      <c r="D60" s="136"/>
      <c r="E60" s="136"/>
      <c r="F60" s="136"/>
      <c r="G60" s="136"/>
      <c r="H60" s="136"/>
      <c r="I60" s="136"/>
      <c r="V60" s="17"/>
      <c r="X60" s="193"/>
      <c r="Y60" s="193"/>
      <c r="Z60" s="193"/>
      <c r="AA60" s="193"/>
      <c r="AB60" s="193"/>
      <c r="AC60" s="193"/>
      <c r="AD60" s="193"/>
    </row>
    <row r="61" spans="1:34" ht="16.5" customHeight="1" thickBot="1">
      <c r="A61" s="328" t="s">
        <v>36</v>
      </c>
      <c r="B61" s="328"/>
      <c r="C61" s="328"/>
      <c r="D61" s="328"/>
      <c r="E61" s="214"/>
      <c r="F61" s="136"/>
      <c r="G61" s="136"/>
      <c r="H61" s="136"/>
      <c r="I61" s="136"/>
      <c r="K61" s="17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96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</row>
    <row r="62" spans="1:34" ht="26.25" customHeight="1" thickTop="1" thickBot="1">
      <c r="A62" s="329" t="s">
        <v>30</v>
      </c>
      <c r="B62" s="215" t="s">
        <v>117</v>
      </c>
      <c r="C62" s="216" t="s">
        <v>118</v>
      </c>
      <c r="D62" s="217" t="s">
        <v>119</v>
      </c>
      <c r="E62" s="214"/>
      <c r="F62" s="136"/>
      <c r="G62" s="136"/>
      <c r="H62" s="136"/>
      <c r="I62" s="136"/>
      <c r="K62" s="17"/>
      <c r="L62" s="328" t="s">
        <v>36</v>
      </c>
      <c r="M62" s="328"/>
      <c r="N62" s="328"/>
      <c r="O62" s="328"/>
      <c r="P62" s="214"/>
      <c r="Q62" s="155"/>
      <c r="R62" s="155"/>
      <c r="S62" s="155"/>
      <c r="T62" s="155"/>
      <c r="U62" s="155"/>
      <c r="V62" s="196"/>
      <c r="X62" s="328" t="s">
        <v>48</v>
      </c>
      <c r="Y62" s="328"/>
      <c r="Z62" s="328"/>
      <c r="AA62" s="328"/>
      <c r="AB62" s="328"/>
      <c r="AC62" s="328"/>
      <c r="AD62" s="328"/>
      <c r="AE62" s="328"/>
      <c r="AF62" s="328"/>
      <c r="AG62" s="328"/>
      <c r="AH62" s="214"/>
    </row>
    <row r="63" spans="1:34" ht="26.25" customHeight="1" thickTop="1" thickBot="1">
      <c r="A63" s="218" t="s">
        <v>32</v>
      </c>
      <c r="B63" s="219" t="s">
        <v>148</v>
      </c>
      <c r="C63" s="220" t="s">
        <v>149</v>
      </c>
      <c r="D63" s="221" t="s">
        <v>150</v>
      </c>
      <c r="E63" s="214"/>
      <c r="F63" s="136"/>
      <c r="G63" s="136"/>
      <c r="H63" s="136"/>
      <c r="I63" s="136"/>
      <c r="K63" s="17"/>
      <c r="L63" s="329" t="s">
        <v>30</v>
      </c>
      <c r="M63" s="215" t="s">
        <v>31</v>
      </c>
      <c r="N63" s="216" t="s">
        <v>121</v>
      </c>
      <c r="O63" s="217" t="s">
        <v>122</v>
      </c>
      <c r="P63" s="214"/>
      <c r="Q63" s="155"/>
      <c r="R63" s="155"/>
      <c r="S63" s="155"/>
      <c r="T63" s="155"/>
      <c r="U63" s="155"/>
      <c r="V63" s="196"/>
      <c r="X63" s="350" t="s">
        <v>30</v>
      </c>
      <c r="Y63" s="351"/>
      <c r="Z63" s="356" t="s">
        <v>49</v>
      </c>
      <c r="AA63" s="311"/>
      <c r="AB63" s="311"/>
      <c r="AC63" s="311"/>
      <c r="AD63" s="311"/>
      <c r="AE63" s="311" t="s">
        <v>50</v>
      </c>
      <c r="AF63" s="311" t="s">
        <v>40</v>
      </c>
      <c r="AG63" s="364" t="s">
        <v>51</v>
      </c>
      <c r="AH63" s="214"/>
    </row>
    <row r="64" spans="1:34" ht="38.25" customHeight="1" thickTop="1" thickBot="1">
      <c r="A64" s="222" t="s">
        <v>33</v>
      </c>
      <c r="B64" s="223">
        <v>0.20262160771231191</v>
      </c>
      <c r="C64" s="224">
        <v>5.8470757973204928E-3</v>
      </c>
      <c r="D64" s="225">
        <v>6.1883751052137691E-2</v>
      </c>
      <c r="E64" s="214"/>
      <c r="F64" s="136"/>
      <c r="G64" s="136"/>
      <c r="H64" s="136"/>
      <c r="I64" s="136"/>
      <c r="K64" s="17"/>
      <c r="L64" s="218" t="s">
        <v>32</v>
      </c>
      <c r="M64" s="219" t="s">
        <v>162</v>
      </c>
      <c r="N64" s="220" t="s">
        <v>163</v>
      </c>
      <c r="O64" s="221" t="s">
        <v>164</v>
      </c>
      <c r="P64" s="214"/>
      <c r="Q64" s="155"/>
      <c r="R64" s="155"/>
      <c r="S64" s="155"/>
      <c r="T64" s="155"/>
      <c r="U64" s="155"/>
      <c r="V64" s="196"/>
      <c r="X64" s="352"/>
      <c r="Y64" s="353"/>
      <c r="Z64" s="339" t="s">
        <v>52</v>
      </c>
      <c r="AA64" s="312" t="s">
        <v>53</v>
      </c>
      <c r="AB64" s="312" t="s">
        <v>54</v>
      </c>
      <c r="AC64" s="312" t="s">
        <v>55</v>
      </c>
      <c r="AD64" s="312"/>
      <c r="AE64" s="312"/>
      <c r="AF64" s="312"/>
      <c r="AG64" s="365"/>
      <c r="AH64" s="214"/>
    </row>
    <row r="65" spans="1:34" ht="15.75" customHeight="1" thickTop="1" thickBot="1">
      <c r="A65" s="330" t="s">
        <v>34</v>
      </c>
      <c r="B65" s="330"/>
      <c r="C65" s="330"/>
      <c r="D65" s="330"/>
      <c r="E65" s="214"/>
      <c r="F65" s="136"/>
      <c r="G65" s="136"/>
      <c r="H65" s="136"/>
      <c r="I65" s="136"/>
      <c r="K65" s="17"/>
      <c r="L65" s="222" t="s">
        <v>33</v>
      </c>
      <c r="M65" s="223">
        <v>1.5764115299612413E-2</v>
      </c>
      <c r="N65" s="224">
        <v>0.20590321073206833</v>
      </c>
      <c r="O65" s="225">
        <v>0.23180855179227275</v>
      </c>
      <c r="P65" s="214"/>
      <c r="Q65" s="155"/>
      <c r="R65" s="155"/>
      <c r="S65" s="155"/>
      <c r="T65" s="155"/>
      <c r="U65" s="155"/>
      <c r="V65" s="155"/>
      <c r="X65" s="354"/>
      <c r="Y65" s="355"/>
      <c r="Z65" s="340"/>
      <c r="AA65" s="313"/>
      <c r="AB65" s="313"/>
      <c r="AC65" s="239" t="s">
        <v>56</v>
      </c>
      <c r="AD65" s="239" t="s">
        <v>57</v>
      </c>
      <c r="AE65" s="313"/>
      <c r="AF65" s="313"/>
      <c r="AG65" s="366"/>
      <c r="AH65" s="214"/>
    </row>
    <row r="66" spans="1:34" ht="15.75" customHeight="1" thickTop="1">
      <c r="A66" s="330" t="s">
        <v>35</v>
      </c>
      <c r="B66" s="330"/>
      <c r="C66" s="330"/>
      <c r="D66" s="330"/>
      <c r="E66" s="214"/>
      <c r="F66" s="136"/>
      <c r="G66" s="136"/>
      <c r="H66" s="136"/>
      <c r="I66" s="136"/>
      <c r="K66" s="17"/>
      <c r="L66" s="330" t="s">
        <v>34</v>
      </c>
      <c r="M66" s="330"/>
      <c r="N66" s="330"/>
      <c r="O66" s="330"/>
      <c r="P66" s="214"/>
      <c r="Q66" s="155"/>
      <c r="R66" s="155"/>
      <c r="S66" s="155"/>
      <c r="T66" s="155"/>
      <c r="U66" s="155"/>
      <c r="V66" s="155"/>
      <c r="X66" s="240" t="s">
        <v>58</v>
      </c>
      <c r="Y66" s="241" t="s">
        <v>126</v>
      </c>
      <c r="Z66" s="242">
        <v>4.0909090909090917</v>
      </c>
      <c r="AA66" s="243">
        <v>8.6076076287728807</v>
      </c>
      <c r="AB66" s="243">
        <v>2.5952913497491266</v>
      </c>
      <c r="AC66" s="243">
        <v>-1.6917603976908344</v>
      </c>
      <c r="AD66" s="243">
        <v>9.8735785795090187</v>
      </c>
      <c r="AE66" s="244">
        <v>1.5762812492341327</v>
      </c>
      <c r="AF66" s="245">
        <v>10</v>
      </c>
      <c r="AG66" s="246">
        <v>0.14603929396786805</v>
      </c>
      <c r="AH66" s="214"/>
    </row>
    <row r="67" spans="1:34" ht="26.25" customHeight="1">
      <c r="A67" s="330" t="s">
        <v>78</v>
      </c>
      <c r="B67" s="330"/>
      <c r="C67" s="330"/>
      <c r="D67" s="330"/>
      <c r="E67" s="214"/>
      <c r="F67" s="136"/>
      <c r="G67" s="136"/>
      <c r="H67" s="136"/>
      <c r="I67" s="136"/>
      <c r="K67" s="17"/>
      <c r="L67" s="330" t="s">
        <v>35</v>
      </c>
      <c r="M67" s="330"/>
      <c r="N67" s="330"/>
      <c r="O67" s="330"/>
      <c r="P67" s="214"/>
      <c r="Q67" s="155"/>
      <c r="R67" s="155"/>
      <c r="S67" s="155"/>
      <c r="T67" s="155"/>
      <c r="U67" s="155"/>
      <c r="V67" s="155"/>
      <c r="X67" s="247" t="s">
        <v>62</v>
      </c>
      <c r="Y67" s="248" t="s">
        <v>127</v>
      </c>
      <c r="Z67" s="249">
        <v>-3.7272727272727284</v>
      </c>
      <c r="AA67" s="250">
        <v>6.4356959078394791</v>
      </c>
      <c r="AB67" s="250">
        <v>1.9404353264662926</v>
      </c>
      <c r="AC67" s="250">
        <v>-8.0508320679389449</v>
      </c>
      <c r="AD67" s="251">
        <v>0.59628661339348721</v>
      </c>
      <c r="AE67" s="252">
        <v>-1.9208435738285736</v>
      </c>
      <c r="AF67" s="253">
        <v>10</v>
      </c>
      <c r="AG67" s="254">
        <v>8.3692175801766189E-2</v>
      </c>
      <c r="AH67" s="214"/>
    </row>
    <row r="68" spans="1:34" ht="24.75" customHeight="1" thickBot="1">
      <c r="A68" s="136"/>
      <c r="B68" s="136"/>
      <c r="C68" s="136"/>
      <c r="D68" s="136"/>
      <c r="E68" s="136"/>
      <c r="F68" s="136"/>
      <c r="G68" s="136"/>
      <c r="H68" s="136"/>
      <c r="I68" s="136"/>
      <c r="L68" s="330" t="s">
        <v>78</v>
      </c>
      <c r="M68" s="330"/>
      <c r="N68" s="330"/>
      <c r="O68" s="330"/>
      <c r="P68" s="214"/>
      <c r="Q68" s="155"/>
      <c r="R68" s="155"/>
      <c r="S68" s="155"/>
      <c r="T68" s="155"/>
      <c r="U68" s="155"/>
      <c r="V68" s="155"/>
      <c r="X68" s="255" t="s">
        <v>63</v>
      </c>
      <c r="Y68" s="256" t="s">
        <v>128</v>
      </c>
      <c r="Z68" s="257">
        <v>-0.36363636363636331</v>
      </c>
      <c r="AA68" s="258">
        <v>9.9526150058437128</v>
      </c>
      <c r="AB68" s="258">
        <v>3.0008263324767648</v>
      </c>
      <c r="AC68" s="258">
        <v>-7.0498941030913231</v>
      </c>
      <c r="AD68" s="258">
        <v>6.3226213758185965</v>
      </c>
      <c r="AE68" s="224">
        <v>-0.12117874323511153</v>
      </c>
      <c r="AF68" s="259">
        <v>10</v>
      </c>
      <c r="AG68" s="225">
        <v>0.90594982086884812</v>
      </c>
      <c r="AH68" s="214"/>
    </row>
    <row r="69" spans="1:34" ht="16" thickTop="1">
      <c r="A69" s="136"/>
      <c r="B69" s="136"/>
      <c r="C69" s="136"/>
      <c r="D69" s="136"/>
      <c r="E69" s="136"/>
      <c r="F69" s="136"/>
      <c r="G69" s="136"/>
      <c r="H69" s="136"/>
      <c r="I69" s="136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</row>
  </sheetData>
  <mergeCells count="116">
    <mergeCell ref="W12:AF12"/>
    <mergeCell ref="W13:X15"/>
    <mergeCell ref="Y13:AC13"/>
    <mergeCell ref="AD13:AD15"/>
    <mergeCell ref="AE13:AE15"/>
    <mergeCell ref="AF13:AF15"/>
    <mergeCell ref="Y14:Y15"/>
    <mergeCell ref="Z14:Z15"/>
    <mergeCell ref="AA14:AA15"/>
    <mergeCell ref="AB14:AC14"/>
    <mergeCell ref="L66:O66"/>
    <mergeCell ref="L67:O67"/>
    <mergeCell ref="L68:O68"/>
    <mergeCell ref="L40:O40"/>
    <mergeCell ref="L41"/>
    <mergeCell ref="L44:O44"/>
    <mergeCell ref="L45:O45"/>
    <mergeCell ref="L46:O46"/>
    <mergeCell ref="X38:AG38"/>
    <mergeCell ref="X39:Y41"/>
    <mergeCell ref="Z39:AD39"/>
    <mergeCell ref="AE39:AE41"/>
    <mergeCell ref="AF39:AF41"/>
    <mergeCell ref="AG39:AG41"/>
    <mergeCell ref="Z40:Z41"/>
    <mergeCell ref="AA40:AA41"/>
    <mergeCell ref="L62:O62"/>
    <mergeCell ref="X62:AG62"/>
    <mergeCell ref="X44:Z44"/>
    <mergeCell ref="X45"/>
    <mergeCell ref="X48:Z48"/>
    <mergeCell ref="X49:Z49"/>
    <mergeCell ref="AF63:AF65"/>
    <mergeCell ref="AG63:AG65"/>
    <mergeCell ref="A66:D66"/>
    <mergeCell ref="A67:D67"/>
    <mergeCell ref="A37:D37"/>
    <mergeCell ref="A38"/>
    <mergeCell ref="A41:D41"/>
    <mergeCell ref="A42:D42"/>
    <mergeCell ref="A43:D43"/>
    <mergeCell ref="A52:G52"/>
    <mergeCell ref="A53:A54"/>
    <mergeCell ref="B53:D53"/>
    <mergeCell ref="E53:G53"/>
    <mergeCell ref="A58:G58"/>
    <mergeCell ref="X28:AD28"/>
    <mergeCell ref="L28:R28"/>
    <mergeCell ref="A34:G34"/>
    <mergeCell ref="X29:X30"/>
    <mergeCell ref="Y29:AA29"/>
    <mergeCell ref="AB29:AD29"/>
    <mergeCell ref="A61:D61"/>
    <mergeCell ref="A62"/>
    <mergeCell ref="A65:D65"/>
    <mergeCell ref="L63"/>
    <mergeCell ref="Z64:Z65"/>
    <mergeCell ref="AA64:AA65"/>
    <mergeCell ref="AB64:AB65"/>
    <mergeCell ref="AC64:AD64"/>
    <mergeCell ref="M29:O29"/>
    <mergeCell ref="P29:R29"/>
    <mergeCell ref="A28:G28"/>
    <mergeCell ref="A29:A30"/>
    <mergeCell ref="B29:D29"/>
    <mergeCell ref="E29:G29"/>
    <mergeCell ref="X63:Y65"/>
    <mergeCell ref="Z63:AD63"/>
    <mergeCell ref="A12:D12"/>
    <mergeCell ref="A13"/>
    <mergeCell ref="A16:D16"/>
    <mergeCell ref="A17:D17"/>
    <mergeCell ref="A18:D18"/>
    <mergeCell ref="L12:O12"/>
    <mergeCell ref="L13"/>
    <mergeCell ref="L16:O16"/>
    <mergeCell ref="L17:O17"/>
    <mergeCell ref="L18:O18"/>
    <mergeCell ref="AE63:AE65"/>
    <mergeCell ref="AB40:AB41"/>
    <mergeCell ref="AC40:AD40"/>
    <mergeCell ref="X58:AD58"/>
    <mergeCell ref="L52:R52"/>
    <mergeCell ref="L53:L54"/>
    <mergeCell ref="M53:O53"/>
    <mergeCell ref="P53:R53"/>
    <mergeCell ref="L58:R58"/>
    <mergeCell ref="X52:AD52"/>
    <mergeCell ref="X53:X54"/>
    <mergeCell ref="Y53:AA53"/>
    <mergeCell ref="AB53:AD53"/>
    <mergeCell ref="X59:AD59"/>
    <mergeCell ref="A1:J1"/>
    <mergeCell ref="L1:U1"/>
    <mergeCell ref="W1:AC1"/>
    <mergeCell ref="X35:AD35"/>
    <mergeCell ref="W9:AC9"/>
    <mergeCell ref="L2:R2"/>
    <mergeCell ref="L3:L4"/>
    <mergeCell ref="M3:O3"/>
    <mergeCell ref="P3:R3"/>
    <mergeCell ref="L8:R8"/>
    <mergeCell ref="L34:R34"/>
    <mergeCell ref="L35:R35"/>
    <mergeCell ref="A2:G2"/>
    <mergeCell ref="A3:A4"/>
    <mergeCell ref="B3:D3"/>
    <mergeCell ref="E3:G3"/>
    <mergeCell ref="A8:G8"/>
    <mergeCell ref="W2:AC2"/>
    <mergeCell ref="W3:W4"/>
    <mergeCell ref="X3:Z3"/>
    <mergeCell ref="AA3:AC3"/>
    <mergeCell ref="W8:AC8"/>
    <mergeCell ref="X34:AD34"/>
    <mergeCell ref="L29:L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pic</vt:lpstr>
      <vt:lpstr>Spss combined </vt:lpstr>
      <vt:lpstr>spss_seperteed 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 Hamad</dc:creator>
  <cp:lastModifiedBy>Maija Braaten</cp:lastModifiedBy>
  <dcterms:created xsi:type="dcterms:W3CDTF">2025-02-10T09:42:47Z</dcterms:created>
  <dcterms:modified xsi:type="dcterms:W3CDTF">2025-12-11T20:45:47Z</dcterms:modified>
</cp:coreProperties>
</file>